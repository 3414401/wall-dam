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조은서\Downloads\"/>
    </mc:Choice>
  </mc:AlternateContent>
  <xr:revisionPtr revIDLastSave="0" documentId="13_ncr:1_{0D735A67-13E7-4D4B-8302-45CA6A2140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결과" sheetId="1" r:id="rId1"/>
  </sheets>
  <definedNames>
    <definedName name="_xlnm._FilterDatabase" localSheetId="0" hidden="1">결과!$A$1:$Z$476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1" l="1"/>
  <c r="D13" i="1"/>
  <c r="D271" i="1"/>
  <c r="D16" i="1"/>
  <c r="D390" i="1"/>
  <c r="D79" i="1"/>
  <c r="D83" i="1"/>
  <c r="D380" i="1"/>
  <c r="D287" i="1"/>
  <c r="D441" i="1"/>
  <c r="D420" i="1"/>
  <c r="D5" i="1"/>
  <c r="D463" i="1"/>
  <c r="D47" i="1"/>
  <c r="D173" i="1"/>
  <c r="D475" i="1"/>
  <c r="D63" i="1"/>
  <c r="D18" i="1"/>
  <c r="D358" i="1"/>
  <c r="D449" i="1"/>
  <c r="D378" i="1"/>
  <c r="D15" i="1"/>
  <c r="D414" i="1"/>
  <c r="D324" i="1"/>
  <c r="D367" i="1"/>
  <c r="D19" i="1"/>
  <c r="D22" i="1"/>
  <c r="D142" i="1"/>
  <c r="D65" i="1"/>
  <c r="D429" i="1"/>
  <c r="D150" i="1"/>
  <c r="D365" i="1"/>
  <c r="D14" i="1"/>
  <c r="D462" i="1"/>
  <c r="D413" i="1"/>
  <c r="D382" i="1"/>
  <c r="D62" i="1"/>
  <c r="D385" i="1"/>
  <c r="D46" i="1"/>
  <c r="D411" i="1"/>
  <c r="D396" i="1"/>
  <c r="D61" i="1"/>
  <c r="D438" i="1"/>
  <c r="D439" i="1"/>
  <c r="D447" i="1"/>
  <c r="D37" i="1"/>
  <c r="D466" i="1"/>
  <c r="D473" i="1"/>
  <c r="D453" i="1"/>
  <c r="D470" i="1"/>
  <c r="D448" i="1"/>
  <c r="D7" i="1"/>
  <c r="D436" i="1"/>
  <c r="D199" i="1"/>
  <c r="D352" i="1"/>
  <c r="D471" i="1"/>
  <c r="D431" i="1"/>
  <c r="D412" i="1"/>
  <c r="D55" i="1"/>
  <c r="D383" i="1"/>
  <c r="D369" i="1"/>
  <c r="D474" i="1"/>
  <c r="D405" i="1"/>
  <c r="D11" i="1"/>
  <c r="D421" i="1"/>
  <c r="D456" i="1"/>
  <c r="D294" i="1"/>
  <c r="D435" i="1"/>
  <c r="D377" i="1"/>
  <c r="D36" i="1"/>
  <c r="D40" i="1"/>
  <c r="D26" i="1"/>
  <c r="D424" i="1"/>
  <c r="D417" i="1"/>
  <c r="D366" i="1"/>
  <c r="D418" i="1"/>
  <c r="D392" i="1"/>
  <c r="D422" i="1"/>
  <c r="D360" i="1"/>
  <c r="D206" i="1"/>
  <c r="D398" i="1"/>
  <c r="D461" i="1"/>
  <c r="D355" i="1"/>
  <c r="D280" i="1"/>
  <c r="D397" i="1"/>
  <c r="D64" i="1"/>
  <c r="D401" i="1"/>
  <c r="D54" i="1"/>
  <c r="D458" i="1"/>
  <c r="D452" i="1"/>
  <c r="D433" i="1"/>
  <c r="D10" i="1"/>
  <c r="D395" i="1"/>
  <c r="D27" i="1"/>
  <c r="D357" i="1"/>
  <c r="D404" i="1"/>
  <c r="D419" i="1"/>
  <c r="D408" i="1"/>
  <c r="D20" i="1"/>
  <c r="D426" i="1"/>
  <c r="D245" i="1"/>
  <c r="D363" i="1"/>
  <c r="D406" i="1"/>
  <c r="D56" i="1"/>
  <c r="D446" i="1"/>
  <c r="D351" i="1"/>
  <c r="D361" i="1"/>
  <c r="D6" i="1"/>
  <c r="D428" i="1"/>
  <c r="D60" i="1"/>
  <c r="D465" i="1"/>
  <c r="D400" i="1"/>
  <c r="D335" i="1"/>
  <c r="D460" i="1"/>
  <c r="D368" i="1"/>
  <c r="D445" i="1"/>
  <c r="D403" i="1"/>
  <c r="D432" i="1"/>
  <c r="D28" i="1"/>
  <c r="D430" i="1"/>
  <c r="D31" i="1"/>
  <c r="D75" i="1"/>
  <c r="D53" i="1"/>
  <c r="D345" i="1"/>
  <c r="D440" i="1"/>
  <c r="D423" i="1"/>
  <c r="D12" i="1"/>
  <c r="D166" i="1"/>
  <c r="D4" i="1"/>
  <c r="D402" i="1"/>
  <c r="D286" i="1"/>
  <c r="D346" i="1"/>
  <c r="D104" i="1"/>
  <c r="D9" i="1"/>
  <c r="D399" i="1"/>
  <c r="D427" i="1"/>
  <c r="D21" i="1"/>
  <c r="D33" i="1"/>
  <c r="D76" i="1"/>
  <c r="D228" i="1"/>
  <c r="D434" i="1"/>
  <c r="D318" i="1"/>
  <c r="D468" i="1"/>
  <c r="D410" i="1"/>
  <c r="D444" i="1"/>
  <c r="D354" i="1"/>
  <c r="D141" i="1"/>
  <c r="D347" i="1"/>
  <c r="D30" i="1"/>
  <c r="D43" i="1"/>
  <c r="D394" i="1"/>
  <c r="D371" i="1"/>
  <c r="D469" i="1"/>
  <c r="D416" i="1"/>
  <c r="D437" i="1"/>
  <c r="D51" i="1"/>
  <c r="D349" i="1"/>
  <c r="D58" i="1"/>
  <c r="D105" i="1"/>
  <c r="D122" i="1"/>
  <c r="D39" i="1"/>
  <c r="D17" i="1"/>
  <c r="D116" i="1"/>
  <c r="D356" i="1"/>
  <c r="D455" i="1"/>
  <c r="D381" i="1"/>
  <c r="D92" i="1"/>
  <c r="D291" i="1"/>
  <c r="D114" i="1"/>
  <c r="D269" i="1"/>
  <c r="D359" i="1"/>
  <c r="D70" i="1"/>
  <c r="D225" i="1"/>
  <c r="D208" i="1"/>
  <c r="D192" i="1"/>
  <c r="D322" i="1"/>
  <c r="D204" i="1"/>
  <c r="D32" i="1"/>
  <c r="D45" i="1"/>
  <c r="D126" i="1"/>
  <c r="D224" i="1"/>
  <c r="D272" i="1"/>
  <c r="D202" i="1"/>
  <c r="D244" i="1"/>
  <c r="D241" i="1"/>
  <c r="D239" i="1"/>
  <c r="D250" i="1"/>
  <c r="D146" i="1"/>
  <c r="D180" i="1"/>
  <c r="D232" i="1"/>
  <c r="D69" i="1"/>
  <c r="D454" i="1"/>
  <c r="D262" i="1"/>
  <c r="D284" i="1"/>
  <c r="D325" i="1"/>
  <c r="D197" i="1"/>
  <c r="D425" i="1"/>
  <c r="D85" i="1"/>
  <c r="D311" i="1"/>
  <c r="D133" i="1"/>
  <c r="D140" i="1"/>
  <c r="D215" i="1"/>
  <c r="D193" i="1"/>
  <c r="D330" i="1"/>
  <c r="D246" i="1"/>
  <c r="D327" i="1"/>
  <c r="D177" i="1"/>
  <c r="D329" i="1"/>
  <c r="D310" i="1"/>
  <c r="D328" i="1"/>
  <c r="D270" i="1"/>
  <c r="D259" i="1"/>
  <c r="D476" i="1"/>
  <c r="D450" i="1"/>
  <c r="D149" i="1"/>
  <c r="D350" i="1"/>
  <c r="D288" i="1"/>
  <c r="D162" i="1"/>
  <c r="D110" i="1"/>
  <c r="D236" i="1"/>
  <c r="D258" i="1"/>
  <c r="D296" i="1"/>
  <c r="D386" i="1"/>
  <c r="D113" i="1"/>
  <c r="D282" i="1"/>
  <c r="D309" i="1"/>
  <c r="D459" i="1"/>
  <c r="D121" i="1"/>
  <c r="D8" i="1"/>
  <c r="D153" i="1"/>
  <c r="D253" i="1"/>
  <c r="D103" i="1"/>
  <c r="D38" i="1"/>
  <c r="D295" i="1"/>
  <c r="D159" i="1"/>
  <c r="D312" i="1"/>
  <c r="D152" i="1"/>
  <c r="D23" i="1"/>
  <c r="D362" i="1"/>
  <c r="D24" i="1"/>
  <c r="D124" i="1"/>
  <c r="D201" i="1"/>
  <c r="D71" i="1"/>
  <c r="D340" i="1"/>
  <c r="D268" i="1"/>
  <c r="D277" i="1"/>
  <c r="D227" i="1"/>
  <c r="D172" i="1"/>
  <c r="D289" i="1"/>
  <c r="D388" i="1"/>
  <c r="D108" i="1"/>
  <c r="D279" i="1"/>
  <c r="D332" i="1"/>
  <c r="D265" i="1"/>
  <c r="D364" i="1"/>
  <c r="D339" i="1"/>
  <c r="D77" i="1"/>
  <c r="D168" i="1"/>
  <c r="D391" i="1"/>
  <c r="D472" i="1"/>
  <c r="D302" i="1"/>
  <c r="D331" i="1"/>
  <c r="D134" i="1"/>
  <c r="D42" i="1"/>
  <c r="D264" i="1"/>
  <c r="D242" i="1"/>
  <c r="D233" i="1"/>
  <c r="D188" i="1"/>
  <c r="D73" i="1"/>
  <c r="D376" i="1"/>
  <c r="D196" i="1"/>
  <c r="D321" i="1"/>
  <c r="D415" i="1"/>
  <c r="D315" i="1"/>
  <c r="D252" i="1"/>
  <c r="D100" i="1"/>
  <c r="D348" i="1"/>
  <c r="D165" i="1"/>
  <c r="D451" i="1"/>
  <c r="D375" i="1"/>
  <c r="D379" i="1"/>
  <c r="D308" i="1"/>
  <c r="D238" i="1"/>
  <c r="D127" i="1"/>
  <c r="D260" i="1"/>
  <c r="D41" i="1"/>
  <c r="D226" i="1"/>
  <c r="D115" i="1"/>
  <c r="D319" i="1"/>
  <c r="D90" i="1"/>
  <c r="D393" i="1"/>
  <c r="D29" i="1"/>
  <c r="D442" i="1"/>
  <c r="D34" i="1"/>
  <c r="D254" i="1"/>
  <c r="D231" i="1"/>
  <c r="D409" i="1"/>
  <c r="D443" i="1"/>
  <c r="D304" i="1"/>
  <c r="D179" i="1"/>
  <c r="D343" i="1"/>
  <c r="D80" i="1"/>
  <c r="D151" i="1"/>
  <c r="D240" i="1"/>
  <c r="D111" i="1"/>
  <c r="D143" i="1"/>
  <c r="D237" i="1"/>
  <c r="D297" i="1"/>
  <c r="D178" i="1"/>
  <c r="D306" i="1"/>
  <c r="D353" i="1"/>
  <c r="D118" i="1"/>
  <c r="D25" i="1"/>
  <c r="D157" i="1"/>
  <c r="D374" i="1"/>
  <c r="D170" i="1"/>
  <c r="D220" i="1"/>
  <c r="D93" i="1"/>
  <c r="D52" i="1"/>
  <c r="D94" i="1"/>
  <c r="D205" i="1"/>
  <c r="D138" i="1"/>
  <c r="D154" i="1"/>
  <c r="D300" i="1"/>
  <c r="D387" i="1"/>
  <c r="D48" i="1"/>
  <c r="D384" i="1"/>
  <c r="D407" i="1"/>
  <c r="D230" i="1"/>
  <c r="D457" i="1"/>
  <c r="D147" i="1"/>
  <c r="D161" i="1"/>
  <c r="D194" i="1"/>
  <c r="D3" i="1"/>
  <c r="D261" i="1"/>
  <c r="D342" i="1"/>
  <c r="D255" i="1"/>
  <c r="D337" i="1"/>
  <c r="D222" i="1"/>
  <c r="D256" i="1"/>
  <c r="D326" i="1"/>
  <c r="D219" i="1"/>
  <c r="D274" i="1"/>
  <c r="D214" i="1"/>
  <c r="D218" i="1"/>
  <c r="D95" i="1"/>
  <c r="D119" i="1"/>
  <c r="D467" i="1"/>
  <c r="D223" i="1"/>
  <c r="D35" i="1"/>
  <c r="D135" i="1"/>
  <c r="D267" i="1"/>
  <c r="D314" i="1"/>
  <c r="D257" i="1"/>
  <c r="D169" i="1"/>
  <c r="D91" i="1"/>
  <c r="D117" i="1"/>
  <c r="D464" i="1"/>
  <c r="D145" i="1"/>
  <c r="D370" i="1"/>
  <c r="D164" i="1"/>
  <c r="D107" i="1"/>
  <c r="D338" i="1"/>
  <c r="D160" i="1"/>
  <c r="D49" i="1"/>
  <c r="D144" i="1"/>
  <c r="D336" i="1"/>
  <c r="D305" i="1"/>
  <c r="D189" i="1"/>
  <c r="D316" i="1"/>
  <c r="D44" i="1"/>
  <c r="D191" i="1"/>
  <c r="D207" i="1"/>
  <c r="D301" i="1"/>
  <c r="D137" i="1"/>
  <c r="D213" i="1"/>
  <c r="D195" i="1"/>
  <c r="D128" i="1"/>
  <c r="D203" i="1"/>
  <c r="D57" i="1"/>
  <c r="D334" i="1"/>
  <c r="D292" i="1"/>
  <c r="D84" i="1"/>
  <c r="D176" i="1"/>
  <c r="D81" i="1"/>
  <c r="D229" i="1"/>
  <c r="D221" i="1"/>
  <c r="D68" i="1"/>
  <c r="D249" i="1"/>
  <c r="D275" i="1"/>
  <c r="D200" i="1"/>
  <c r="D156" i="1"/>
  <c r="D216" i="1"/>
  <c r="D281" i="1"/>
  <c r="D130" i="1"/>
  <c r="D175" i="1"/>
  <c r="D251" i="1"/>
  <c r="D212" i="1"/>
  <c r="D278" i="1"/>
  <c r="D283" i="1"/>
  <c r="D155" i="1"/>
  <c r="D131" i="1"/>
  <c r="D298" i="1"/>
  <c r="D185" i="1"/>
  <c r="D247" i="1"/>
  <c r="D106" i="1"/>
  <c r="D273" i="1"/>
  <c r="D211" i="1"/>
  <c r="D217" i="1"/>
  <c r="D243" i="1"/>
  <c r="D320" i="1"/>
  <c r="D67" i="1"/>
  <c r="D148" i="1"/>
  <c r="D158" i="1"/>
  <c r="D234" i="1"/>
  <c r="D186" i="1"/>
  <c r="D293" i="1"/>
  <c r="D317" i="1"/>
  <c r="D99" i="1"/>
  <c r="D313" i="1"/>
  <c r="D112" i="1"/>
  <c r="D109" i="1"/>
  <c r="D307" i="1"/>
  <c r="D181" i="1"/>
  <c r="D290" i="1"/>
  <c r="D120" i="1"/>
  <c r="D198" i="1"/>
  <c r="D285" i="1"/>
  <c r="D50" i="1"/>
  <c r="D89" i="1"/>
  <c r="D132" i="1"/>
  <c r="D184" i="1"/>
  <c r="D174" i="1"/>
  <c r="D59" i="1"/>
  <c r="D373" i="1"/>
  <c r="D182" i="1"/>
  <c r="D372" i="1"/>
  <c r="D183" i="1"/>
  <c r="D96" i="1"/>
  <c r="D299" i="1"/>
  <c r="D389" i="1"/>
  <c r="D125" i="1"/>
  <c r="D86" i="1"/>
  <c r="D266" i="1"/>
  <c r="D87" i="1"/>
  <c r="D303" i="1"/>
  <c r="D101" i="1"/>
  <c r="D163" i="1"/>
  <c r="D235" i="1"/>
  <c r="D187" i="1"/>
  <c r="D66" i="1"/>
  <c r="D98" i="1"/>
  <c r="D210" i="1"/>
  <c r="D139" i="1"/>
  <c r="D276" i="1"/>
  <c r="D97" i="1"/>
  <c r="D248" i="1"/>
  <c r="D88" i="1"/>
  <c r="D263" i="1"/>
  <c r="D102" i="1"/>
  <c r="D344" i="1"/>
  <c r="D123" i="1"/>
  <c r="D323" i="1"/>
  <c r="D190" i="1"/>
  <c r="D341" i="1"/>
  <c r="D171" i="1"/>
  <c r="D136" i="1"/>
  <c r="D333" i="1"/>
  <c r="D78" i="1"/>
  <c r="D167" i="1"/>
  <c r="D74" i="1"/>
  <c r="D129" i="1"/>
  <c r="D209" i="1"/>
  <c r="D72" i="1"/>
</calcChain>
</file>

<file path=xl/sharedStrings.xml><?xml version="1.0" encoding="utf-8"?>
<sst xmlns="http://schemas.openxmlformats.org/spreadsheetml/2006/main" count="1569" uniqueCount="888">
  <si>
    <t>학교명</t>
  </si>
  <si>
    <t>지역</t>
  </si>
  <si>
    <t>학교 학생 수</t>
  </si>
  <si>
    <t>획일화 지수(H_m)</t>
  </si>
  <si>
    <t>P_special</t>
  </si>
  <si>
    <t>I_SCU</t>
  </si>
  <si>
    <t>H_path</t>
  </si>
  <si>
    <t>H_job</t>
  </si>
  <si>
    <t>H_ppc</t>
  </si>
  <si>
    <t>1위 업종</t>
  </si>
  <si>
    <t>R_net</t>
  </si>
  <si>
    <t>대구경동초등학교</t>
  </si>
  <si>
    <t>수성구</t>
  </si>
  <si>
    <t>1871</t>
  </si>
  <si>
    <t>기타 개인 서비스업 복합코드</t>
  </si>
  <si>
    <t>대구서촌초등학교</t>
  </si>
  <si>
    <t>동구</t>
  </si>
  <si>
    <t>22</t>
  </si>
  <si>
    <t>대구대청초등학교</t>
  </si>
  <si>
    <t>1488</t>
  </si>
  <si>
    <t>대구경진초등학교</t>
  </si>
  <si>
    <t>북구</t>
  </si>
  <si>
    <t>76</t>
  </si>
  <si>
    <t>대구반송초등학교</t>
  </si>
  <si>
    <t>달성군</t>
  </si>
  <si>
    <t>46</t>
  </si>
  <si>
    <t>대구공산초등학교</t>
  </si>
  <si>
    <t>81</t>
  </si>
  <si>
    <t>대구해안초등학교</t>
  </si>
  <si>
    <t>대구동곡초등학교</t>
  </si>
  <si>
    <t>52</t>
  </si>
  <si>
    <t>대구범어초등학교</t>
  </si>
  <si>
    <t>1028</t>
  </si>
  <si>
    <t>대구효동초등학교</t>
  </si>
  <si>
    <t>84</t>
  </si>
  <si>
    <t>대구비봉초등학교</t>
  </si>
  <si>
    <t>서구</t>
  </si>
  <si>
    <t>69</t>
  </si>
  <si>
    <t>대구하빈초등학교</t>
  </si>
  <si>
    <t>93</t>
  </si>
  <si>
    <t>대구대산초등학교</t>
  </si>
  <si>
    <t>106</t>
  </si>
  <si>
    <t>대구효신초등학교</t>
  </si>
  <si>
    <t>210</t>
  </si>
  <si>
    <t>대구남명초등학교</t>
  </si>
  <si>
    <t>남구</t>
  </si>
  <si>
    <t>137</t>
  </si>
  <si>
    <t>보건업 복합코드</t>
  </si>
  <si>
    <t>대구월곡초등학교</t>
  </si>
  <si>
    <t>달서구</t>
  </si>
  <si>
    <t>대구광명학교</t>
  </si>
  <si>
    <t>41</t>
  </si>
  <si>
    <t>대구영화학교</t>
  </si>
  <si>
    <t>44</t>
  </si>
  <si>
    <t>대구금계초등학교</t>
  </si>
  <si>
    <t>126</t>
  </si>
  <si>
    <t>대구이현초등학교</t>
  </si>
  <si>
    <t>224</t>
  </si>
  <si>
    <t>대구동문초등학교</t>
  </si>
  <si>
    <t>141</t>
  </si>
  <si>
    <t>대구서평초등학교</t>
  </si>
  <si>
    <t>127</t>
  </si>
  <si>
    <t>대구금포초등학교</t>
  </si>
  <si>
    <t>129</t>
  </si>
  <si>
    <t>대구가창초등학교</t>
  </si>
  <si>
    <t>대구북비산초등학교</t>
  </si>
  <si>
    <t>121</t>
  </si>
  <si>
    <t>대구신당초등학교</t>
  </si>
  <si>
    <t>138</t>
  </si>
  <si>
    <t>대구명곡초등학교</t>
  </si>
  <si>
    <t>166</t>
  </si>
  <si>
    <t>대구남동초등학교</t>
  </si>
  <si>
    <t>151</t>
  </si>
  <si>
    <t>대구천내초등학교</t>
  </si>
  <si>
    <t>159</t>
  </si>
  <si>
    <t>대구관천초등학교</t>
  </si>
  <si>
    <t>172</t>
  </si>
  <si>
    <t>대구월성초등학교</t>
  </si>
  <si>
    <t>164</t>
  </si>
  <si>
    <t>대구관음초등학교</t>
  </si>
  <si>
    <t>170</t>
  </si>
  <si>
    <t>대구대성초등학교</t>
  </si>
  <si>
    <t>서대구초등학교</t>
  </si>
  <si>
    <t>149</t>
  </si>
  <si>
    <t>대구지봉초등학교</t>
  </si>
  <si>
    <t>182</t>
  </si>
  <si>
    <t>대구군위초등학교송원캠퍼스</t>
  </si>
  <si>
    <t>군위군</t>
  </si>
  <si>
    <t>16</t>
  </si>
  <si>
    <t>대구부계초등학교의흥캠퍼스</t>
  </si>
  <si>
    <t>부계중학교</t>
  </si>
  <si>
    <t>대구부계초등학교고매캠퍼스</t>
  </si>
  <si>
    <t>19</t>
  </si>
  <si>
    <t>부계중학교효령캠퍼스</t>
  </si>
  <si>
    <t>달서중학교</t>
  </si>
  <si>
    <t>36</t>
  </si>
  <si>
    <t>대구보건학교</t>
  </si>
  <si>
    <t>대구부계초등학교효령캠퍼스</t>
  </si>
  <si>
    <t>28</t>
  </si>
  <si>
    <t>대구덕희학교</t>
  </si>
  <si>
    <t>109</t>
  </si>
  <si>
    <t>대구교동초등학교</t>
  </si>
  <si>
    <t>남대구초등학교</t>
  </si>
  <si>
    <t>201</t>
  </si>
  <si>
    <t>대구장성초등학교</t>
  </si>
  <si>
    <t>191</t>
  </si>
  <si>
    <t>대구삼육초등학교</t>
  </si>
  <si>
    <t>199</t>
  </si>
  <si>
    <t>대구대덕초등학교</t>
  </si>
  <si>
    <t>212</t>
  </si>
  <si>
    <t>대구종로초등학교</t>
  </si>
  <si>
    <t>중구</t>
  </si>
  <si>
    <t>스포츠 서비스업</t>
  </si>
  <si>
    <t>대구부계초등학교</t>
  </si>
  <si>
    <t>39</t>
  </si>
  <si>
    <t>대구체육중학교</t>
  </si>
  <si>
    <t>56</t>
  </si>
  <si>
    <t>대구내서초등학교</t>
  </si>
  <si>
    <t>177</t>
  </si>
  <si>
    <t>대구논공초등학교</t>
  </si>
  <si>
    <t>194</t>
  </si>
  <si>
    <t>대구태전초등학교</t>
  </si>
  <si>
    <t>207</t>
  </si>
  <si>
    <t>대구남덕초등학교</t>
  </si>
  <si>
    <t>229</t>
  </si>
  <si>
    <t>대구파호초등학교</t>
  </si>
  <si>
    <t>216</t>
  </si>
  <si>
    <t>대구중리초등학교</t>
  </si>
  <si>
    <t>259</t>
  </si>
  <si>
    <t>대구북부초등학교</t>
  </si>
  <si>
    <t>215</t>
  </si>
  <si>
    <t>대구시지초등학교</t>
  </si>
  <si>
    <t>220</t>
  </si>
  <si>
    <t>대구만촌초등학교</t>
  </si>
  <si>
    <t>276</t>
  </si>
  <si>
    <t>대구동인초등학교</t>
  </si>
  <si>
    <t>대구감삼초등학교</t>
  </si>
  <si>
    <t>251</t>
  </si>
  <si>
    <t>대구팔달초등학교</t>
  </si>
  <si>
    <t>대구아양초등학교</t>
  </si>
  <si>
    <t>223</t>
  </si>
  <si>
    <t>대구성명초등학교</t>
  </si>
  <si>
    <t>245</t>
  </si>
  <si>
    <t>대구선명학교</t>
  </si>
  <si>
    <t>대구율하초등학교</t>
  </si>
  <si>
    <t>222</t>
  </si>
  <si>
    <t>대구남송초등학교</t>
  </si>
  <si>
    <t>307</t>
  </si>
  <si>
    <t>대구영선초등학교</t>
  </si>
  <si>
    <t>291</t>
  </si>
  <si>
    <t>대구북동초등학교</t>
  </si>
  <si>
    <t>대구지묘초등학교</t>
  </si>
  <si>
    <t>256</t>
  </si>
  <si>
    <t>대구덕인초등학교</t>
  </si>
  <si>
    <t>335</t>
  </si>
  <si>
    <t>대구두류초등학교</t>
  </si>
  <si>
    <t>237</t>
  </si>
  <si>
    <t>대구장동초등학교</t>
  </si>
  <si>
    <t>1223</t>
  </si>
  <si>
    <t>대구일과학고등학교</t>
  </si>
  <si>
    <t>218</t>
  </si>
  <si>
    <t>대구선원초등학교</t>
  </si>
  <si>
    <t>261</t>
  </si>
  <si>
    <t>대구옥포초등학교</t>
  </si>
  <si>
    <t>252</t>
  </si>
  <si>
    <t>대구보명학교</t>
  </si>
  <si>
    <t>187</t>
  </si>
  <si>
    <t>대구덕성초등학교</t>
  </si>
  <si>
    <t>대구입석초등학교</t>
  </si>
  <si>
    <t>대구성동초등학교</t>
  </si>
  <si>
    <t>1544</t>
  </si>
  <si>
    <t>대구두산초등학교</t>
  </si>
  <si>
    <t>268</t>
  </si>
  <si>
    <t>대구상원초등학교</t>
  </si>
  <si>
    <t>262</t>
  </si>
  <si>
    <t>대구이룸고등학교</t>
  </si>
  <si>
    <t>168</t>
  </si>
  <si>
    <t>대구예아람학교</t>
  </si>
  <si>
    <t>163</t>
  </si>
  <si>
    <t>대구감천초등학교</t>
  </si>
  <si>
    <t>264</t>
  </si>
  <si>
    <t>대구성서초등학교</t>
  </si>
  <si>
    <t>270</t>
  </si>
  <si>
    <t>대구송현초등학교</t>
  </si>
  <si>
    <t>271</t>
  </si>
  <si>
    <t>대구과학고등학교</t>
  </si>
  <si>
    <t>280</t>
  </si>
  <si>
    <t>대구복명초등학교</t>
  </si>
  <si>
    <t>283</t>
  </si>
  <si>
    <t>대구관남초등학교</t>
  </si>
  <si>
    <t>274</t>
  </si>
  <si>
    <t>대구죽전초등학교</t>
  </si>
  <si>
    <t>349</t>
  </si>
  <si>
    <t>대구현풍초등학교</t>
  </si>
  <si>
    <t>달구벌고등학교</t>
  </si>
  <si>
    <t>97</t>
  </si>
  <si>
    <t>대구서도초등학교</t>
  </si>
  <si>
    <t>265</t>
  </si>
  <si>
    <t>대구대천초등학교</t>
  </si>
  <si>
    <t>281</t>
  </si>
  <si>
    <t>대구산격초등학교</t>
  </si>
  <si>
    <t>대구성곡초등학교</t>
  </si>
  <si>
    <t>287</t>
  </si>
  <si>
    <t>대구동덕초등학교</t>
  </si>
  <si>
    <t>326</t>
  </si>
  <si>
    <t>대구진월초등학교</t>
  </si>
  <si>
    <t>대구서부초등학교</t>
  </si>
  <si>
    <t>대구비산초등학교</t>
  </si>
  <si>
    <t>272</t>
  </si>
  <si>
    <t>구남중학교</t>
  </si>
  <si>
    <t>98</t>
  </si>
  <si>
    <t>대구파동초등학교</t>
  </si>
  <si>
    <t>343</t>
  </si>
  <si>
    <t>대구불로초등학교</t>
  </si>
  <si>
    <t>286</t>
  </si>
  <si>
    <t>대구청림초등학교</t>
  </si>
  <si>
    <t>294</t>
  </si>
  <si>
    <t>대구호산초등학교</t>
  </si>
  <si>
    <t>290</t>
  </si>
  <si>
    <t>대구동산초등학교</t>
  </si>
  <si>
    <t>297</t>
  </si>
  <si>
    <t>군위중학교</t>
  </si>
  <si>
    <t>대구매동초등학교</t>
  </si>
  <si>
    <t>303</t>
  </si>
  <si>
    <t>대구화동초등학교</t>
  </si>
  <si>
    <t>대구남양학교</t>
  </si>
  <si>
    <t>217</t>
  </si>
  <si>
    <t>대구명덕초등학교</t>
  </si>
  <si>
    <t>300</t>
  </si>
  <si>
    <t>범일중학교</t>
  </si>
  <si>
    <t>대구동성초등학교</t>
  </si>
  <si>
    <t>906</t>
  </si>
  <si>
    <t>한울안중학교</t>
  </si>
  <si>
    <t>80</t>
  </si>
  <si>
    <t>대구달성초등학교</t>
  </si>
  <si>
    <t>536</t>
  </si>
  <si>
    <t>대구구암초등학교</t>
  </si>
  <si>
    <t>302</t>
  </si>
  <si>
    <t>대구방촌초등학교</t>
  </si>
  <si>
    <t>305</t>
  </si>
  <si>
    <t>대구용전초등학교</t>
  </si>
  <si>
    <t>313</t>
  </si>
  <si>
    <t>대구태현초등학교</t>
  </si>
  <si>
    <t>312</t>
  </si>
  <si>
    <t>대구월암초등학교</t>
  </si>
  <si>
    <t>1277</t>
  </si>
  <si>
    <t>대구도원초등학교</t>
  </si>
  <si>
    <t>315</t>
  </si>
  <si>
    <t>경혜여자중학교</t>
  </si>
  <si>
    <t>148</t>
  </si>
  <si>
    <t>대구세명학교</t>
  </si>
  <si>
    <t>234</t>
  </si>
  <si>
    <t>현풍중학교</t>
  </si>
  <si>
    <t>200</t>
  </si>
  <si>
    <t>대구대남초등학교</t>
  </si>
  <si>
    <t>322</t>
  </si>
  <si>
    <t>대구군위초등학교</t>
  </si>
  <si>
    <t>239</t>
  </si>
  <si>
    <t>대구성보학교</t>
  </si>
  <si>
    <t>238</t>
  </si>
  <si>
    <t>대구성남초등학교</t>
  </si>
  <si>
    <t>328</t>
  </si>
  <si>
    <t>대구이곡초등학교</t>
  </si>
  <si>
    <t>333</t>
  </si>
  <si>
    <t>대구성북초등학교</t>
  </si>
  <si>
    <t>332</t>
  </si>
  <si>
    <t>대구학산초등학교</t>
  </si>
  <si>
    <t>361</t>
  </si>
  <si>
    <t>대구용산초등학교</t>
  </si>
  <si>
    <t>393</t>
  </si>
  <si>
    <t>대구성지초등학교</t>
  </si>
  <si>
    <t>340</t>
  </si>
  <si>
    <t>대구화남초등학교</t>
  </si>
  <si>
    <t>388</t>
  </si>
  <si>
    <t>대구용계초등학교</t>
  </si>
  <si>
    <t>391</t>
  </si>
  <si>
    <t>대구효명초등학교</t>
  </si>
  <si>
    <t>362</t>
  </si>
  <si>
    <t>대구욱수초등학교</t>
  </si>
  <si>
    <t>588</t>
  </si>
  <si>
    <t>가창중학교</t>
  </si>
  <si>
    <t>120</t>
  </si>
  <si>
    <t>대구사월초등학교</t>
  </si>
  <si>
    <t>1169</t>
  </si>
  <si>
    <t>대구매천초등학교</t>
  </si>
  <si>
    <t>351</t>
  </si>
  <si>
    <t>대구동원초등학교</t>
  </si>
  <si>
    <t>406</t>
  </si>
  <si>
    <t>팔달중학교</t>
  </si>
  <si>
    <t>150</t>
  </si>
  <si>
    <t>대구수성초등학교</t>
  </si>
  <si>
    <t>717</t>
  </si>
  <si>
    <t>송현여자중학교</t>
  </si>
  <si>
    <t>상인중학교</t>
  </si>
  <si>
    <t>156</t>
  </si>
  <si>
    <t>군위고등학교</t>
  </si>
  <si>
    <t>248</t>
  </si>
  <si>
    <t>서남중학교</t>
  </si>
  <si>
    <t>136</t>
  </si>
  <si>
    <t>대구지산초등학교</t>
  </si>
  <si>
    <t>211</t>
  </si>
  <si>
    <t>대구동호초등학교</t>
  </si>
  <si>
    <t>360</t>
  </si>
  <si>
    <t>대구동도초등학교</t>
  </si>
  <si>
    <t>1409</t>
  </si>
  <si>
    <t>대구서변초등학교</t>
  </si>
  <si>
    <t>363</t>
  </si>
  <si>
    <t>대구국제고등학교</t>
  </si>
  <si>
    <t>논공중학교</t>
  </si>
  <si>
    <t>154</t>
  </si>
  <si>
    <t>대구국우초등학교</t>
  </si>
  <si>
    <t>367</t>
  </si>
  <si>
    <t>대구성산초등학교</t>
  </si>
  <si>
    <t>366</t>
  </si>
  <si>
    <t>대구범물초등학교</t>
  </si>
  <si>
    <t>135</t>
  </si>
  <si>
    <t>북대구초등학교</t>
  </si>
  <si>
    <t>365</t>
  </si>
  <si>
    <t>대구들안길초등학교</t>
  </si>
  <si>
    <t>452</t>
  </si>
  <si>
    <t>경상중학교부설방송통신중학교</t>
  </si>
  <si>
    <t>310</t>
  </si>
  <si>
    <t>대구대곡초등학교</t>
  </si>
  <si>
    <t>374</t>
  </si>
  <si>
    <t>대평중학교</t>
  </si>
  <si>
    <t>157</t>
  </si>
  <si>
    <t>대구체육고등학교</t>
  </si>
  <si>
    <t>203</t>
  </si>
  <si>
    <t>대구본리초등학교</t>
  </si>
  <si>
    <t>1126</t>
  </si>
  <si>
    <t>대구중학교</t>
  </si>
  <si>
    <t>301</t>
  </si>
  <si>
    <t>대구신서초등학교</t>
  </si>
  <si>
    <t>175</t>
  </si>
  <si>
    <t>대구동부초등학교</t>
  </si>
  <si>
    <t>415</t>
  </si>
  <si>
    <t>대구노전초등학교</t>
  </si>
  <si>
    <t>379</t>
  </si>
  <si>
    <t>대구신월초등학교</t>
  </si>
  <si>
    <t>1143</t>
  </si>
  <si>
    <t>대구동천초등학교</t>
  </si>
  <si>
    <t>1711</t>
  </si>
  <si>
    <t>대구공업고등학교 테크노폴리스 캠퍼스</t>
  </si>
  <si>
    <t>173</t>
  </si>
  <si>
    <t>대구효목초등학교</t>
  </si>
  <si>
    <t>380</t>
  </si>
  <si>
    <t>대구봉덕초등학교</t>
  </si>
  <si>
    <t>700</t>
  </si>
  <si>
    <t>대구청라중학교</t>
  </si>
  <si>
    <t>174</t>
  </si>
  <si>
    <t>입석중학교</t>
  </si>
  <si>
    <t>185</t>
  </si>
  <si>
    <t>수성중학교</t>
  </si>
  <si>
    <t>190</t>
  </si>
  <si>
    <t>대구수창초등학교</t>
  </si>
  <si>
    <t>690</t>
  </si>
  <si>
    <t>대구외국어고등학교</t>
  </si>
  <si>
    <t>경일중학교</t>
  </si>
  <si>
    <t>152</t>
  </si>
  <si>
    <t>이곡중학교</t>
  </si>
  <si>
    <t>경암중학교</t>
  </si>
  <si>
    <t>성곡중학교</t>
  </si>
  <si>
    <t>255</t>
  </si>
  <si>
    <t>대구교육대학교대구부설초등학교</t>
  </si>
  <si>
    <t>398</t>
  </si>
  <si>
    <t>대구팔공초등학교</t>
  </si>
  <si>
    <t>대구달산초등학교</t>
  </si>
  <si>
    <t>873</t>
  </si>
  <si>
    <t>대구소프트웨어마이스터고등학교</t>
  </si>
  <si>
    <t>공산중학교</t>
  </si>
  <si>
    <t>대구용호초등학교</t>
  </si>
  <si>
    <t>420</t>
  </si>
  <si>
    <t>대구대진초등학교</t>
  </si>
  <si>
    <t>대구신성초등학교</t>
  </si>
  <si>
    <t>525</t>
  </si>
  <si>
    <t>대구초등학교</t>
  </si>
  <si>
    <t>399</t>
  </si>
  <si>
    <t>산격중학교</t>
  </si>
  <si>
    <t>240</t>
  </si>
  <si>
    <t>북동중학교</t>
  </si>
  <si>
    <t>209</t>
  </si>
  <si>
    <t>천내중학교</t>
  </si>
  <si>
    <t>243</t>
  </si>
  <si>
    <t>대구문성초등학교</t>
  </si>
  <si>
    <t>409</t>
  </si>
  <si>
    <t>대명중학교</t>
  </si>
  <si>
    <t>279</t>
  </si>
  <si>
    <t>대구남도초등학교</t>
  </si>
  <si>
    <t>455</t>
  </si>
  <si>
    <t>대구와룡초등학교</t>
  </si>
  <si>
    <t>대구테크노초등학교</t>
  </si>
  <si>
    <t>신아중학교</t>
  </si>
  <si>
    <t>대구평리초등학교</t>
  </si>
  <si>
    <t>1065</t>
  </si>
  <si>
    <t>대구삼덕초등학교</t>
  </si>
  <si>
    <t>400</t>
  </si>
  <si>
    <t>불로중학교</t>
  </si>
  <si>
    <t>258</t>
  </si>
  <si>
    <t>대구경운초등학교</t>
  </si>
  <si>
    <t>405</t>
  </si>
  <si>
    <t>대구북중학교</t>
  </si>
  <si>
    <t>250</t>
  </si>
  <si>
    <t>대구스마트고등학교</t>
  </si>
  <si>
    <t>348</t>
  </si>
  <si>
    <t>대구신흥초등학교</t>
  </si>
  <si>
    <t>대구월배초등학교</t>
  </si>
  <si>
    <t>560</t>
  </si>
  <si>
    <t>관음중학교</t>
  </si>
  <si>
    <t>284</t>
  </si>
  <si>
    <t>대구도림초등학교</t>
  </si>
  <si>
    <t>대구함지초등학교</t>
  </si>
  <si>
    <t>334</t>
  </si>
  <si>
    <t>대구진천초등학교</t>
  </si>
  <si>
    <t>426</t>
  </si>
  <si>
    <t>화원중학교</t>
  </si>
  <si>
    <t>278</t>
  </si>
  <si>
    <t>서변중학교</t>
  </si>
  <si>
    <t>288</t>
  </si>
  <si>
    <t>대구반야월초등학교</t>
  </si>
  <si>
    <t>833</t>
  </si>
  <si>
    <t>대구고산초등학교</t>
  </si>
  <si>
    <t>708</t>
  </si>
  <si>
    <t>대구화원초등학교</t>
  </si>
  <si>
    <t>428</t>
  </si>
  <si>
    <t>동촌중학교</t>
  </si>
  <si>
    <t>257</t>
  </si>
  <si>
    <t>대구월서초등학교</t>
  </si>
  <si>
    <t>948</t>
  </si>
  <si>
    <t>대구해서초등학교</t>
  </si>
  <si>
    <t>433</t>
  </si>
  <si>
    <t>대구일마이스터고등학교</t>
  </si>
  <si>
    <t>대구내당초등학교</t>
  </si>
  <si>
    <t>445</t>
  </si>
  <si>
    <t>서대구중학교</t>
  </si>
  <si>
    <t>269</t>
  </si>
  <si>
    <t>대구조암초등학교</t>
  </si>
  <si>
    <t>538</t>
  </si>
  <si>
    <t>대구범일초등학교</t>
  </si>
  <si>
    <t>624</t>
  </si>
  <si>
    <t>대구송일초등학교</t>
  </si>
  <si>
    <t>453</t>
  </si>
  <si>
    <t>대구인지초등학교</t>
  </si>
  <si>
    <t>439</t>
  </si>
  <si>
    <t>대구월촌초등학교</t>
  </si>
  <si>
    <t>대구황금초등학교</t>
  </si>
  <si>
    <t>760</t>
  </si>
  <si>
    <t>대구강북초등학교</t>
  </si>
  <si>
    <t>692</t>
  </si>
  <si>
    <t>대구상인초등학교</t>
  </si>
  <si>
    <t>대구대서초등학교</t>
  </si>
  <si>
    <t>457</t>
  </si>
  <si>
    <t>경상중학교</t>
  </si>
  <si>
    <t>352</t>
  </si>
  <si>
    <t>동변중학교</t>
  </si>
  <si>
    <t>319</t>
  </si>
  <si>
    <t>경상여자고등학교</t>
  </si>
  <si>
    <t>612</t>
  </si>
  <si>
    <t>대구동촌초등학교</t>
  </si>
  <si>
    <t>462</t>
  </si>
  <si>
    <t>대구태암초등학교</t>
  </si>
  <si>
    <t>463</t>
  </si>
  <si>
    <t>대구매곡초등학교</t>
  </si>
  <si>
    <t>대구중앙중학교</t>
  </si>
  <si>
    <t>353</t>
  </si>
  <si>
    <t>계성중학교</t>
  </si>
  <si>
    <t>491</t>
  </si>
  <si>
    <t>대구남부초등학교</t>
  </si>
  <si>
    <t>293</t>
  </si>
  <si>
    <t>대구왕선초등학교</t>
  </si>
  <si>
    <t>638</t>
  </si>
  <si>
    <t>대구동평초등학교</t>
  </si>
  <si>
    <t>789</t>
  </si>
  <si>
    <t>경구중학교</t>
  </si>
  <si>
    <t>320</t>
  </si>
  <si>
    <t>대구대명초등학교</t>
  </si>
  <si>
    <t>488</t>
  </si>
  <si>
    <t>포산고등학교</t>
  </si>
  <si>
    <t>470</t>
  </si>
  <si>
    <t>대구칠곡초등학교</t>
  </si>
  <si>
    <t>477</t>
  </si>
  <si>
    <t>대구장기초등학교</t>
  </si>
  <si>
    <t>480</t>
  </si>
  <si>
    <t>대구농업마이스터고등학교</t>
  </si>
  <si>
    <t>317</t>
  </si>
  <si>
    <t>새본리중학교</t>
  </si>
  <si>
    <t>370</t>
  </si>
  <si>
    <t>대구중앙초등학교</t>
  </si>
  <si>
    <t>832</t>
  </si>
  <si>
    <t>대구용지초등학교</t>
  </si>
  <si>
    <t>720</t>
  </si>
  <si>
    <t>대구신매초등학교</t>
  </si>
  <si>
    <t>508</t>
  </si>
  <si>
    <t>대구노변초등학교</t>
  </si>
  <si>
    <t>665</t>
  </si>
  <si>
    <t>대구매호초등학교</t>
  </si>
  <si>
    <t>502</t>
  </si>
  <si>
    <t>대구제일중학교</t>
  </si>
  <si>
    <t>298</t>
  </si>
  <si>
    <t>대원고등학교</t>
  </si>
  <si>
    <t>675</t>
  </si>
  <si>
    <t>대구동일초등학교</t>
  </si>
  <si>
    <t>507</t>
  </si>
  <si>
    <t>지산중학교</t>
  </si>
  <si>
    <t>359</t>
  </si>
  <si>
    <t>효성초등학교</t>
  </si>
  <si>
    <t>513</t>
  </si>
  <si>
    <t>대구용천초등학교</t>
  </si>
  <si>
    <t>1722</t>
  </si>
  <si>
    <t>대구유천초등학교</t>
  </si>
  <si>
    <t>728</t>
  </si>
  <si>
    <t>대구한샘초등학교</t>
  </si>
  <si>
    <t>1135</t>
  </si>
  <si>
    <t>대구칠성초등학교</t>
  </si>
  <si>
    <t>1306</t>
  </si>
  <si>
    <t>대구한솔초등학교</t>
  </si>
  <si>
    <t>858</t>
  </si>
  <si>
    <t>대구복현초등학교</t>
  </si>
  <si>
    <t>973</t>
  </si>
  <si>
    <t>대구학정초등학교</t>
  </si>
  <si>
    <t>대구연경초등학교</t>
  </si>
  <si>
    <t>727</t>
  </si>
  <si>
    <t>대구한실초등학교</t>
  </si>
  <si>
    <t>669</t>
  </si>
  <si>
    <t>대구사수초등학교</t>
  </si>
  <si>
    <t>928</t>
  </si>
  <si>
    <t>대구성당초등학교</t>
  </si>
  <si>
    <t>803</t>
  </si>
  <si>
    <t>대구동변초등학교</t>
  </si>
  <si>
    <t>571</t>
  </si>
  <si>
    <t>대구도남초등학교</t>
  </si>
  <si>
    <t>570</t>
  </si>
  <si>
    <t>대구침산초등학교</t>
  </si>
  <si>
    <t>1165</t>
  </si>
  <si>
    <t>대구관문초등학교</t>
  </si>
  <si>
    <t>919</t>
  </si>
  <si>
    <t>영신초등학교</t>
  </si>
  <si>
    <t>712</t>
  </si>
  <si>
    <t>대구삼영초등학교</t>
  </si>
  <si>
    <t>596</t>
  </si>
  <si>
    <t>대구학남초등학교</t>
  </si>
  <si>
    <t>594</t>
  </si>
  <si>
    <t>대구장산초등학교</t>
  </si>
  <si>
    <t>대구운암초등학교</t>
  </si>
  <si>
    <t>칠곡중학교</t>
  </si>
  <si>
    <t>341</t>
  </si>
  <si>
    <t>대구강동초등학교</t>
  </si>
  <si>
    <t>900</t>
  </si>
  <si>
    <t>대구숙천초등학교</t>
  </si>
  <si>
    <t>606</t>
  </si>
  <si>
    <t>대구봉무초등학교</t>
  </si>
  <si>
    <t>대구동신초등학교</t>
  </si>
  <si>
    <t>729</t>
  </si>
  <si>
    <t>대구옥산초등학교</t>
  </si>
  <si>
    <t>697</t>
  </si>
  <si>
    <t>대구신암초등학교</t>
  </si>
  <si>
    <t>628</t>
  </si>
  <si>
    <t>대구신천초등학교</t>
  </si>
  <si>
    <t>835</t>
  </si>
  <si>
    <t>대구안일초등학교</t>
  </si>
  <si>
    <t>대구새론초등학교</t>
  </si>
  <si>
    <t>1083</t>
  </si>
  <si>
    <t>대구율원초등학교</t>
  </si>
  <si>
    <t>788</t>
  </si>
  <si>
    <t>대구세천초등학교</t>
  </si>
  <si>
    <t>1438</t>
  </si>
  <si>
    <t>대구대실초등학교</t>
  </si>
  <si>
    <t>1195</t>
  </si>
  <si>
    <t>구암고등학교</t>
  </si>
  <si>
    <t>736</t>
  </si>
  <si>
    <t>경일여자고등학교</t>
  </si>
  <si>
    <t>대구서동초등학교</t>
  </si>
  <si>
    <t>1177</t>
  </si>
  <si>
    <t>대구포산초등학교</t>
  </si>
  <si>
    <t>977</t>
  </si>
  <si>
    <t>대구비슬초등학교</t>
  </si>
  <si>
    <t>1118</t>
  </si>
  <si>
    <t>대구서재초등학교</t>
  </si>
  <si>
    <t>621</t>
  </si>
  <si>
    <t>대구세현초등학교</t>
  </si>
  <si>
    <t>1187</t>
  </si>
  <si>
    <t>대구강림초등학교</t>
  </si>
  <si>
    <t>897</t>
  </si>
  <si>
    <t>동대구초등학교</t>
  </si>
  <si>
    <t>725</t>
  </si>
  <si>
    <t>대구유가초등학교</t>
  </si>
  <si>
    <t>1666</t>
  </si>
  <si>
    <t>대구다사초등학교</t>
  </si>
  <si>
    <t>971</t>
  </si>
  <si>
    <t>대구죽곡초등학교</t>
  </si>
  <si>
    <t>662</t>
  </si>
  <si>
    <t>대구구지초등학교</t>
  </si>
  <si>
    <t>512</t>
  </si>
  <si>
    <t>상서중학교</t>
  </si>
  <si>
    <t>칠성고등학교</t>
  </si>
  <si>
    <t>384</t>
  </si>
  <si>
    <t>덕화중학교</t>
  </si>
  <si>
    <t>345</t>
  </si>
  <si>
    <t>대구달서초등학교</t>
  </si>
  <si>
    <t>686</t>
  </si>
  <si>
    <t>경북대학교사범대학부설초등학교</t>
  </si>
  <si>
    <t>510</t>
  </si>
  <si>
    <t>계성초등학교</t>
  </si>
  <si>
    <t>743</t>
  </si>
  <si>
    <t>대구대봉초등학교</t>
  </si>
  <si>
    <t>469</t>
  </si>
  <si>
    <t>대구남산초등학교</t>
  </si>
  <si>
    <t>1332</t>
  </si>
  <si>
    <t>달서고등학교</t>
  </si>
  <si>
    <t>411</t>
  </si>
  <si>
    <t>대서중학교</t>
  </si>
  <si>
    <t>369</t>
  </si>
  <si>
    <t>노변중학교</t>
  </si>
  <si>
    <t>394</t>
  </si>
  <si>
    <t>월배중학교</t>
  </si>
  <si>
    <t>357</t>
  </si>
  <si>
    <t>심인고등학교</t>
  </si>
  <si>
    <t>604</t>
  </si>
  <si>
    <t>협성고등학교</t>
  </si>
  <si>
    <t>494</t>
  </si>
  <si>
    <t>복현중학교</t>
  </si>
  <si>
    <t>396</t>
  </si>
  <si>
    <t>성광고등학교</t>
  </si>
  <si>
    <t>540</t>
  </si>
  <si>
    <t>관천중학교</t>
  </si>
  <si>
    <t>395</t>
  </si>
  <si>
    <t>경운중학교</t>
  </si>
  <si>
    <t>407</t>
  </si>
  <si>
    <t>대명고등학교</t>
  </si>
  <si>
    <t>대구동부고등학교</t>
  </si>
  <si>
    <t>817</t>
  </si>
  <si>
    <t>덕원고등학교</t>
  </si>
  <si>
    <t>1019</t>
  </si>
  <si>
    <t>정동고등학교</t>
  </si>
  <si>
    <t>605</t>
  </si>
  <si>
    <t>시지고등학교</t>
  </si>
  <si>
    <t>1039</t>
  </si>
  <si>
    <t>협성경복중학교</t>
  </si>
  <si>
    <t>대구팔공중학교</t>
  </si>
  <si>
    <t>운암중학교</t>
  </si>
  <si>
    <t>대구송정초등학교</t>
  </si>
  <si>
    <t>799</t>
  </si>
  <si>
    <t>대구고등학교부설방송통신고등학교</t>
  </si>
  <si>
    <t>558</t>
  </si>
  <si>
    <t>경일여자중학교</t>
  </si>
  <si>
    <t>553</t>
  </si>
  <si>
    <t>경상고등학교</t>
  </si>
  <si>
    <t>637</t>
  </si>
  <si>
    <t>오성고등학교</t>
  </si>
  <si>
    <t>성산중학교</t>
  </si>
  <si>
    <t>419</t>
  </si>
  <si>
    <t>경덕여자고등학교</t>
  </si>
  <si>
    <t>424</t>
  </si>
  <si>
    <t>대구남산고등학교</t>
  </si>
  <si>
    <t>795</t>
  </si>
  <si>
    <t>대륜중학교</t>
  </si>
  <si>
    <t>843</t>
  </si>
  <si>
    <t>대구제일고등학교</t>
  </si>
  <si>
    <t>668</t>
  </si>
  <si>
    <t>성지중학교</t>
  </si>
  <si>
    <t>683</t>
  </si>
  <si>
    <t>강동고등학교</t>
  </si>
  <si>
    <t>808</t>
  </si>
  <si>
    <t>대구반도체마이스터고등학교</t>
  </si>
  <si>
    <t>620</t>
  </si>
  <si>
    <t>경북고등학교</t>
  </si>
  <si>
    <t>849</t>
  </si>
  <si>
    <t>영신고등학교</t>
  </si>
  <si>
    <t>747</t>
  </si>
  <si>
    <t>유가중학교</t>
  </si>
  <si>
    <t>874</t>
  </si>
  <si>
    <t>대륜고등학교</t>
  </si>
  <si>
    <t>946</t>
  </si>
  <si>
    <t>능인고등학교</t>
  </si>
  <si>
    <t>대구고등학교</t>
  </si>
  <si>
    <t>경원고등학교</t>
  </si>
  <si>
    <t>와룡중학교</t>
  </si>
  <si>
    <t>431</t>
  </si>
  <si>
    <t>경신중학교</t>
  </si>
  <si>
    <t>931</t>
  </si>
  <si>
    <t>용산중학교</t>
  </si>
  <si>
    <t>443</t>
  </si>
  <si>
    <t>성화여자고등학교</t>
  </si>
  <si>
    <t>정화여자고등학교</t>
  </si>
  <si>
    <t>710</t>
  </si>
  <si>
    <t>매호중학교</t>
  </si>
  <si>
    <t>451</t>
  </si>
  <si>
    <t>포산중학교</t>
  </si>
  <si>
    <t>790</t>
  </si>
  <si>
    <t>대구혜화여자고등학교</t>
  </si>
  <si>
    <t>731</t>
  </si>
  <si>
    <t>성서고등학교</t>
  </si>
  <si>
    <t>607</t>
  </si>
  <si>
    <t>함지고등학교</t>
  </si>
  <si>
    <t>달성고등학교</t>
  </si>
  <si>
    <t>798</t>
  </si>
  <si>
    <t>오성중학교</t>
  </si>
  <si>
    <t>강북고등학교</t>
  </si>
  <si>
    <t>동문고등학교</t>
  </si>
  <si>
    <t>774</t>
  </si>
  <si>
    <t>대진고등학교</t>
  </si>
  <si>
    <t>661</t>
  </si>
  <si>
    <t>정화중학교</t>
  </si>
  <si>
    <t>1042</t>
  </si>
  <si>
    <t>다사중학교</t>
  </si>
  <si>
    <t>715</t>
  </si>
  <si>
    <t>송현여자고등학교</t>
  </si>
  <si>
    <t>동원중학교</t>
  </si>
  <si>
    <t>437</t>
  </si>
  <si>
    <t>대구여자고등학교</t>
  </si>
  <si>
    <t>801</t>
  </si>
  <si>
    <t>영진고등학교</t>
  </si>
  <si>
    <t>526</t>
  </si>
  <si>
    <t>경북예술고등학교</t>
  </si>
  <si>
    <t>1194</t>
  </si>
  <si>
    <t>수성고등학교</t>
  </si>
  <si>
    <t>601</t>
  </si>
  <si>
    <t>영남고등학교</t>
  </si>
  <si>
    <t>성화중학교</t>
  </si>
  <si>
    <t>660</t>
  </si>
  <si>
    <t>도원고등학교</t>
  </si>
  <si>
    <t>경신고등학교</t>
  </si>
  <si>
    <t>성광중학교</t>
  </si>
  <si>
    <t>735</t>
  </si>
  <si>
    <t>경명여자고등학교</t>
  </si>
  <si>
    <t>581</t>
  </si>
  <si>
    <t>운암고등학교</t>
  </si>
  <si>
    <t>689</t>
  </si>
  <si>
    <t>청구고등학교</t>
  </si>
  <si>
    <t>평리중학교</t>
  </si>
  <si>
    <t>능인중학교</t>
  </si>
  <si>
    <t>성서중학교</t>
  </si>
  <si>
    <t>706</t>
  </si>
  <si>
    <t>대곡고등학교</t>
  </si>
  <si>
    <t>739</t>
  </si>
  <si>
    <t>성명여자중학교</t>
  </si>
  <si>
    <t>471</t>
  </si>
  <si>
    <t>대구일중학교</t>
  </si>
  <si>
    <t>909</t>
  </si>
  <si>
    <t>덕원중학교</t>
  </si>
  <si>
    <t>613</t>
  </si>
  <si>
    <t>학남고등학교</t>
  </si>
  <si>
    <t>805</t>
  </si>
  <si>
    <t>성산고등학교</t>
  </si>
  <si>
    <t>541</t>
  </si>
  <si>
    <t>대구서부고등학교</t>
  </si>
  <si>
    <t>591</t>
  </si>
  <si>
    <t>동도중학교</t>
  </si>
  <si>
    <t>1007</t>
  </si>
  <si>
    <t>영송여자고등학교</t>
  </si>
  <si>
    <t>523</t>
  </si>
  <si>
    <t>서재중학교</t>
  </si>
  <si>
    <t>안심중학교</t>
  </si>
  <si>
    <t>매천고등학교</t>
  </si>
  <si>
    <t>심인중학교</t>
  </si>
  <si>
    <t>497</t>
  </si>
  <si>
    <t>영신중학교</t>
  </si>
  <si>
    <t>631</t>
  </si>
  <si>
    <t>경서중학교</t>
  </si>
  <si>
    <t>460</t>
  </si>
  <si>
    <t>고산중학교</t>
  </si>
  <si>
    <t>645</t>
  </si>
  <si>
    <t>경화여자고등학교</t>
  </si>
  <si>
    <t>490</t>
  </si>
  <si>
    <t>비슬고등학교</t>
  </si>
  <si>
    <t>1067</t>
  </si>
  <si>
    <t>원화여자고등학교</t>
  </si>
  <si>
    <t>756</t>
  </si>
  <si>
    <t>대구중앙고등학교</t>
  </si>
  <si>
    <t>642</t>
  </si>
  <si>
    <t>침산중학교</t>
  </si>
  <si>
    <t>753</t>
  </si>
  <si>
    <t>영남중학교</t>
  </si>
  <si>
    <t>경명여자중학교</t>
  </si>
  <si>
    <t>573</t>
  </si>
  <si>
    <t>소선여자중학교</t>
  </si>
  <si>
    <t>915</t>
  </si>
  <si>
    <t>효성여자고등학교</t>
  </si>
  <si>
    <t>범물중학교</t>
  </si>
  <si>
    <t>상인고등학교</t>
  </si>
  <si>
    <t>609</t>
  </si>
  <si>
    <t>다사고등학교</t>
  </si>
  <si>
    <t>483</t>
  </si>
  <si>
    <t>신기중학교</t>
  </si>
  <si>
    <t>442</t>
  </si>
  <si>
    <t>왕선중학교</t>
  </si>
  <si>
    <t>894</t>
  </si>
  <si>
    <t>화원고등학교</t>
  </si>
  <si>
    <t>대진중학교</t>
  </si>
  <si>
    <t>793</t>
  </si>
  <si>
    <t>대구상원고등학교</t>
  </si>
  <si>
    <t>861</t>
  </si>
  <si>
    <t>원화중학교</t>
  </si>
  <si>
    <t>499</t>
  </si>
  <si>
    <t>강북중학교</t>
  </si>
  <si>
    <t>950</t>
  </si>
  <si>
    <t>조일고등학교</t>
  </si>
  <si>
    <t>449</t>
  </si>
  <si>
    <t>호산고등학교</t>
  </si>
  <si>
    <t>579</t>
  </si>
  <si>
    <t>청구중학교</t>
  </si>
  <si>
    <t>547</t>
  </si>
  <si>
    <t>황금중학교</t>
  </si>
  <si>
    <t>765</t>
  </si>
  <si>
    <t>현풍고등학교</t>
  </si>
  <si>
    <t>473</t>
  </si>
  <si>
    <t>계성고등학교</t>
  </si>
  <si>
    <t>823</t>
  </si>
  <si>
    <t>조암중학교</t>
  </si>
  <si>
    <t>1105</t>
  </si>
  <si>
    <t>월암중학교</t>
  </si>
  <si>
    <t>월서중학교</t>
  </si>
  <si>
    <t>1101</t>
  </si>
  <si>
    <t>달성중학교</t>
  </si>
  <si>
    <t>성당중학교</t>
  </si>
  <si>
    <t>시지중학교</t>
  </si>
  <si>
    <t>775</t>
  </si>
  <si>
    <t>구암중학교</t>
  </si>
  <si>
    <t>567</t>
  </si>
  <si>
    <t>새론중학교</t>
  </si>
  <si>
    <t>830</t>
  </si>
  <si>
    <t>대건고등학교</t>
  </si>
  <si>
    <t>상원중학교</t>
  </si>
  <si>
    <t>751</t>
  </si>
  <si>
    <t>신명고등학교</t>
  </si>
  <si>
    <t>550</t>
  </si>
  <si>
    <t>학남중학교</t>
  </si>
  <si>
    <t>768</t>
  </si>
  <si>
    <t>경북기계공업고등학교</t>
  </si>
  <si>
    <t>711</t>
  </si>
  <si>
    <t>동평중학교</t>
  </si>
  <si>
    <t>856</t>
  </si>
  <si>
    <t>대구동중학교</t>
  </si>
  <si>
    <t>1109</t>
  </si>
  <si>
    <t>와룡고등학교</t>
  </si>
  <si>
    <t>대곡중학교</t>
  </si>
  <si>
    <t>524</t>
  </si>
  <si>
    <t>대구동부중학교</t>
  </si>
  <si>
    <t>718</t>
  </si>
  <si>
    <t>경상공업고등학교</t>
  </si>
  <si>
    <t>경북여자상업고등학교</t>
  </si>
  <si>
    <t>495</t>
  </si>
  <si>
    <t>매천중학교</t>
  </si>
  <si>
    <t>대구하이텍고등학교</t>
  </si>
  <si>
    <t>신명여자중학교</t>
  </si>
  <si>
    <t>783</t>
  </si>
  <si>
    <t>경북대학교사범대학부설고등학교</t>
  </si>
  <si>
    <t>769</t>
  </si>
  <si>
    <t>사수중학교</t>
  </si>
  <si>
    <t>481</t>
  </si>
  <si>
    <t>중리중학교</t>
  </si>
  <si>
    <t>539</t>
  </si>
  <si>
    <t>도원중학교</t>
  </si>
  <si>
    <t>610</t>
  </si>
  <si>
    <t>경북여자고등학교</t>
  </si>
  <si>
    <t>대건중학교</t>
  </si>
  <si>
    <t>635</t>
  </si>
  <si>
    <t>효성중학교</t>
  </si>
  <si>
    <t>655</t>
  </si>
  <si>
    <t>대구보건고등학교</t>
  </si>
  <si>
    <t>757</t>
  </si>
  <si>
    <t>구지중학교</t>
  </si>
  <si>
    <t>602</t>
  </si>
  <si>
    <t>학산중학교</t>
  </si>
  <si>
    <t>강동중학교</t>
  </si>
  <si>
    <t>921</t>
  </si>
  <si>
    <t>영남공업고등학교</t>
  </si>
  <si>
    <t>784</t>
  </si>
  <si>
    <t>율원중학교</t>
  </si>
  <si>
    <t>733</t>
  </si>
  <si>
    <t>대구제일여자상업고등학교</t>
  </si>
  <si>
    <t>537</t>
  </si>
  <si>
    <t>상서고등학교</t>
  </si>
  <si>
    <t>944</t>
  </si>
  <si>
    <t>대구관광고등학교</t>
  </si>
  <si>
    <t>552</t>
  </si>
  <si>
    <t>대구공업고등학교</t>
  </si>
  <si>
    <t>서동중학교</t>
  </si>
  <si>
    <t>716</t>
  </si>
  <si>
    <t>경북대학교사범대학부설중학교</t>
  </si>
  <si>
    <t>528</t>
  </si>
  <si>
    <t>대구율금초등학교</t>
  </si>
  <si>
    <t>615</t>
  </si>
  <si>
    <t>경북공업고등학교</t>
  </si>
  <si>
    <t>709</t>
  </si>
  <si>
    <t>대구과학기술고등학교</t>
  </si>
  <si>
    <t>691</t>
  </si>
  <si>
    <t>가. 미입력</t>
    <phoneticPr fontId="2" type="noConversion"/>
  </si>
  <si>
    <t>미입력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</si>
</sst>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8"/>
      <name val="Calibri"/>
      <family val="3"/>
      <charset val="129"/>
      <scheme val="minor"/>
    </font>
    <font>
      <sz val="12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9"/>
  <sheetViews>
    <sheetView tabSelected="1" workbookViewId="0">
      <selection activeCell="F6" sqref="F6"/>
    </sheetView>
  </sheetViews>
  <sheetFormatPr defaultColWidth="11.19921875" defaultRowHeight="15" customHeight="1" x14ac:dyDescent="0.3"/>
  <cols>
    <col min="1" max="1" width="21.59765625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.2" x14ac:dyDescent="0.45">
      <c r="A2" s="2" t="s">
        <v>886</v>
      </c>
      <c r="B2" s="2" t="s">
        <v>887</v>
      </c>
      <c r="C2" s="2" t="s">
        <v>887</v>
      </c>
      <c r="D2" s="2" t="s">
        <v>887</v>
      </c>
      <c r="E2" s="2" t="s">
        <v>887</v>
      </c>
      <c r="F2" s="2" t="s">
        <v>887</v>
      </c>
      <c r="G2" s="2" t="s">
        <v>887</v>
      </c>
      <c r="H2" s="2" t="s">
        <v>887</v>
      </c>
      <c r="I2" s="2" t="s">
        <v>887</v>
      </c>
      <c r="J2" s="2" t="s">
        <v>887</v>
      </c>
      <c r="K2" s="2" t="s">
        <v>887</v>
      </c>
    </row>
    <row r="3" spans="1:11" ht="15.6" x14ac:dyDescent="0.3">
      <c r="A3" s="1" t="s">
        <v>280</v>
      </c>
      <c r="B3" s="1" t="s">
        <v>24</v>
      </c>
      <c r="C3" s="1" t="s">
        <v>281</v>
      </c>
      <c r="D3" s="1">
        <f>SQRT((F3^2 + H3^2 + G3^2 + I3^2)/4) * (1 + 1.4* SQRT(MAX(0, K3)/100) * (C3/490) * I3 + MAX(0, 1 - C3/490))</f>
        <v>0.9623651970822158</v>
      </c>
      <c r="E3" s="1">
        <v>4.1666670000000003</v>
      </c>
      <c r="F3" s="1">
        <v>0.94208199999999997</v>
      </c>
      <c r="G3" s="1">
        <v>8.2570000000000005E-2</v>
      </c>
      <c r="H3" s="1">
        <v>0.34870000000000001</v>
      </c>
      <c r="I3" s="1">
        <v>0.43209999999999998</v>
      </c>
      <c r="K3" s="1">
        <v>0</v>
      </c>
    </row>
    <row r="4" spans="1:11" ht="15.6" x14ac:dyDescent="0.3">
      <c r="A4" s="1" t="s">
        <v>660</v>
      </c>
      <c r="B4" s="1" t="s">
        <v>16</v>
      </c>
      <c r="C4" s="1" t="s">
        <v>661</v>
      </c>
      <c r="D4" s="1">
        <f>SQRT((F4^2 + H4^2 + G4^2 + I4^2)/4) * (1 + 1.4* SQRT(MAX(0, K4)/100) * (C4/490) * I4 + MAX(0, 1 - C4/490))</f>
        <v>0.66018472021232355</v>
      </c>
      <c r="E4" s="1">
        <v>5.4455450000000001</v>
      </c>
      <c r="F4" s="1">
        <v>0.94447400000000004</v>
      </c>
      <c r="G4" s="1">
        <v>0.54680399999999996</v>
      </c>
      <c r="H4" s="1">
        <v>0.34989999999999999</v>
      </c>
      <c r="I4" s="1">
        <v>0.43209999999999998</v>
      </c>
      <c r="K4" s="1">
        <v>0.61168529846024045</v>
      </c>
    </row>
    <row r="5" spans="1:11" ht="15.6" x14ac:dyDescent="0.3">
      <c r="A5" s="1" t="s">
        <v>863</v>
      </c>
      <c r="B5" s="1" t="s">
        <v>16</v>
      </c>
      <c r="C5" s="1" t="s">
        <v>864</v>
      </c>
      <c r="D5" s="1">
        <f>SQRT((F5^2 + H5^2 + G5^2 + I5^2)/4) * (1 + 1.4* SQRT(MAX(0, K5)/100) * (C5/490) * I5 + MAX(0, 1 - C5/490))</f>
        <v>0.56875580323219377</v>
      </c>
      <c r="E5" s="1">
        <v>1.520087</v>
      </c>
      <c r="F5" s="1">
        <v>0.95755900000000005</v>
      </c>
      <c r="G5" s="1">
        <v>7.1964E-2</v>
      </c>
      <c r="H5" s="1">
        <v>0.34989999999999999</v>
      </c>
      <c r="I5" s="1">
        <v>0.43209999999999998</v>
      </c>
      <c r="K5" s="1">
        <v>4.8899755501222497E-2</v>
      </c>
    </row>
    <row r="6" spans="1:11" ht="15.6" x14ac:dyDescent="0.3">
      <c r="A6" s="1" t="s">
        <v>696</v>
      </c>
      <c r="B6" s="1" t="s">
        <v>21</v>
      </c>
      <c r="C6" s="1" t="s">
        <v>667</v>
      </c>
      <c r="D6" s="1">
        <f>SQRT((F6^2 + H6^2 + G6^2 + I6^2)/4) * (1 + 1.4* SQRT(MAX(0, K6)/100) * (C6/490) * I6 + MAX(0, 1 - C6/490))</f>
        <v>0.64051364400691435</v>
      </c>
      <c r="E6" s="1">
        <v>0</v>
      </c>
      <c r="F6" s="1">
        <v>0.96971799999999997</v>
      </c>
      <c r="G6" s="1">
        <v>0.42259099999999999</v>
      </c>
      <c r="H6" s="1">
        <v>0.3493</v>
      </c>
      <c r="I6" s="1">
        <v>0.43209999999999998</v>
      </c>
      <c r="K6" s="1">
        <v>0.61168529846024045</v>
      </c>
    </row>
    <row r="7" spans="1:11" ht="15.6" x14ac:dyDescent="0.3">
      <c r="A7" s="1" t="s">
        <v>793</v>
      </c>
      <c r="B7" s="1" t="s">
        <v>21</v>
      </c>
      <c r="C7" s="1" t="s">
        <v>794</v>
      </c>
      <c r="D7" s="1">
        <f>SQRT((F7^2 + H7^2 + G7^2 + I7^2)/4) * (1 + 1.4* SQRT(MAX(0, K7)/100) * (C7/490) * I7 + MAX(0, 1 - C7/490))</f>
        <v>0.60233797204829287</v>
      </c>
      <c r="E7" s="1">
        <v>1.263158</v>
      </c>
      <c r="F7" s="1">
        <v>0.965507</v>
      </c>
      <c r="G7" s="1">
        <v>0.45860600000000001</v>
      </c>
      <c r="H7" s="1">
        <v>0.3493</v>
      </c>
      <c r="I7" s="1">
        <v>0.43209999999999998</v>
      </c>
      <c r="K7" s="1">
        <v>-0.81769187883293071</v>
      </c>
    </row>
    <row r="8" spans="1:11" ht="15.6" x14ac:dyDescent="0.3">
      <c r="A8" s="1" t="s">
        <v>472</v>
      </c>
      <c r="B8" s="1" t="s">
        <v>111</v>
      </c>
      <c r="C8" s="1" t="s">
        <v>473</v>
      </c>
      <c r="D8" s="1">
        <f>SQRT((F8^2 + H8^2 + G8^2 + I8^2)/4) * (1 + 1.4* SQRT(MAX(0, K8)/100) * (C8/490) * I8 + MAX(0, 1 - C8/490))</f>
        <v>0.77053442499713909</v>
      </c>
      <c r="E8" s="1">
        <v>1.25</v>
      </c>
      <c r="F8" s="1">
        <v>0.97314400000000001</v>
      </c>
      <c r="G8" s="1">
        <v>0.32894200000000001</v>
      </c>
      <c r="H8" s="1">
        <v>0.3322</v>
      </c>
      <c r="I8" s="1">
        <v>0.23019999999999999</v>
      </c>
      <c r="J8" s="1" t="s">
        <v>112</v>
      </c>
      <c r="K8" s="1">
        <v>5.443037974683544</v>
      </c>
    </row>
    <row r="9" spans="1:11" ht="15.6" x14ac:dyDescent="0.3">
      <c r="A9" s="1" t="s">
        <v>650</v>
      </c>
      <c r="B9" s="1" t="s">
        <v>36</v>
      </c>
      <c r="C9" s="1" t="s">
        <v>651</v>
      </c>
      <c r="D9" s="1">
        <f>SQRT((F9^2 + H9^2 + G9^2 + I9^2)/4) * (1 + 1.4* SQRT(MAX(0, K9)/100) * (C9/490) * I9 + MAX(0, 1 - C9/490))</f>
        <v>0.66755841111260938</v>
      </c>
      <c r="E9" s="1">
        <v>0.47169800000000001</v>
      </c>
      <c r="F9" s="1">
        <v>0.91386900000000004</v>
      </c>
      <c r="G9" s="1">
        <v>0.42140899999999998</v>
      </c>
      <c r="H9" s="1">
        <v>0.36220000000000002</v>
      </c>
      <c r="I9" s="1">
        <v>0.43209999999999998</v>
      </c>
      <c r="K9" s="1">
        <v>0.18839103869653767</v>
      </c>
    </row>
    <row r="10" spans="1:11" ht="15.75" customHeight="1" x14ac:dyDescent="0.3">
      <c r="A10" s="1" t="s">
        <v>723</v>
      </c>
      <c r="B10" s="1" t="s">
        <v>21</v>
      </c>
      <c r="C10" s="1" t="s">
        <v>724</v>
      </c>
      <c r="D10" s="1">
        <f>SQRT((F10^2 + H10^2 + G10^2 + I10^2)/4) * (1 + 1.4* SQRT(MAX(0, K10)/100) * (C10/490) * I10 + MAX(0, 1 - C10/490))</f>
        <v>0.63142804102228423</v>
      </c>
      <c r="E10" s="1">
        <v>1.032702</v>
      </c>
      <c r="F10" s="1">
        <v>0.96627600000000002</v>
      </c>
      <c r="G10" s="1">
        <v>0.432973</v>
      </c>
      <c r="H10" s="1">
        <v>0.3493</v>
      </c>
      <c r="I10" s="1">
        <v>0.43209999999999998</v>
      </c>
      <c r="K10" s="1">
        <v>0.61168529846024045</v>
      </c>
    </row>
    <row r="11" spans="1:11" ht="15.75" customHeight="1" x14ac:dyDescent="0.3">
      <c r="A11" s="1" t="s">
        <v>772</v>
      </c>
      <c r="B11" s="1" t="s">
        <v>21</v>
      </c>
      <c r="C11" s="1" t="s">
        <v>773</v>
      </c>
      <c r="D11" s="1">
        <f>SQRT((F11^2 + H11^2 + G11^2 + I11^2)/4) * (1 + 1.4* SQRT(MAX(0, K11)/100) * (C11/490) * I11 + MAX(0, 1 - C11/490))</f>
        <v>0.6123560073009412</v>
      </c>
      <c r="E11" s="1">
        <v>0.34904000000000002</v>
      </c>
      <c r="F11" s="1">
        <v>0.96855500000000005</v>
      </c>
      <c r="G11" s="1">
        <v>0.32819999999999999</v>
      </c>
      <c r="H11" s="1">
        <v>0.3493</v>
      </c>
      <c r="I11" s="1">
        <v>0.43209999999999998</v>
      </c>
      <c r="K11" s="1">
        <v>0.54655475307437051</v>
      </c>
    </row>
    <row r="12" spans="1:11" ht="15.75" customHeight="1" x14ac:dyDescent="0.3">
      <c r="A12" s="1" t="s">
        <v>664</v>
      </c>
      <c r="B12" s="1" t="s">
        <v>12</v>
      </c>
      <c r="C12" s="1" t="s">
        <v>665</v>
      </c>
      <c r="D12" s="1">
        <f>SQRT((F12^2 + H12^2 + G12^2 + I12^2)/4) * (1 + 1.4* SQRT(MAX(0, K12)/100) * (C12/490) * I12 + MAX(0, 1 - C12/490))</f>
        <v>0.65868187012638024</v>
      </c>
      <c r="E12" s="1">
        <v>4.7114250000000002</v>
      </c>
      <c r="F12" s="1">
        <v>0.96396700000000002</v>
      </c>
      <c r="G12" s="1">
        <v>0.45171899999999998</v>
      </c>
      <c r="H12" s="1">
        <v>0.33129999999999998</v>
      </c>
      <c r="I12" s="1">
        <v>0.46929999999999999</v>
      </c>
      <c r="J12" s="1" t="s">
        <v>14</v>
      </c>
      <c r="K12" s="1">
        <v>0.61168529846024045</v>
      </c>
    </row>
    <row r="13" spans="1:11" ht="15.75" customHeight="1" x14ac:dyDescent="0.3">
      <c r="A13" s="1" t="s">
        <v>882</v>
      </c>
      <c r="B13" s="1" t="s">
        <v>111</v>
      </c>
      <c r="C13" s="1" t="s">
        <v>883</v>
      </c>
      <c r="D13" s="1">
        <f>SQRT((F13^2 + H13^2 + G13^2 + I13^2)/4) * (1 + 1.4* SQRT(MAX(0, K13)/100) * (C13/490) * I13 + MAX(0, 1 - C13/490))</f>
        <v>0.5281077801301548</v>
      </c>
      <c r="E13" s="1">
        <v>0.56417499999999998</v>
      </c>
      <c r="F13" s="1">
        <v>0.97543000000000002</v>
      </c>
      <c r="G13" s="1">
        <v>2.7906E-2</v>
      </c>
      <c r="H13" s="1">
        <v>0.3322</v>
      </c>
      <c r="I13" s="1">
        <v>0.23019999999999999</v>
      </c>
      <c r="J13" s="1" t="s">
        <v>112</v>
      </c>
      <c r="K13" s="1">
        <v>0</v>
      </c>
    </row>
    <row r="14" spans="1:11" ht="15.75" customHeight="1" x14ac:dyDescent="0.3">
      <c r="A14" s="1" t="s">
        <v>827</v>
      </c>
      <c r="B14" s="1" t="s">
        <v>49</v>
      </c>
      <c r="C14" s="1" t="s">
        <v>828</v>
      </c>
      <c r="D14" s="1">
        <f>SQRT((F14^2 + H14^2 + G14^2 + I14^2)/4) * (1 + 1.4* SQRT(MAX(0, K14)/100) * (C14/490) * I14 + MAX(0, 1 - C14/490))</f>
        <v>0.59006901441272108</v>
      </c>
      <c r="E14" s="1">
        <v>0</v>
      </c>
      <c r="F14" s="1">
        <v>0.97372599999999998</v>
      </c>
      <c r="G14" s="1">
        <v>0.36649799999999999</v>
      </c>
      <c r="H14" s="1">
        <v>0.35149999999999998</v>
      </c>
      <c r="I14" s="1">
        <v>0.43209999999999998</v>
      </c>
      <c r="K14" s="1">
        <v>0</v>
      </c>
    </row>
    <row r="15" spans="1:11" ht="15.75" customHeight="1" x14ac:dyDescent="0.3">
      <c r="A15" s="1" t="s">
        <v>845</v>
      </c>
      <c r="B15" s="1" t="s">
        <v>111</v>
      </c>
      <c r="C15" s="1" t="s">
        <v>846</v>
      </c>
      <c r="D15" s="1">
        <f>SQRT((F15^2 + H15^2 + G15^2 + I15^2)/4) * (1 + 1.4* SQRT(MAX(0, K15)/100) * (C15/490) * I15 + MAX(0, 1 - C15/490))</f>
        <v>0.58134438410571232</v>
      </c>
      <c r="E15" s="1">
        <v>0</v>
      </c>
      <c r="F15" s="1">
        <v>0.97731000000000001</v>
      </c>
      <c r="G15" s="1">
        <v>0.48307499999999998</v>
      </c>
      <c r="H15" s="1">
        <v>0.3322</v>
      </c>
      <c r="I15" s="1">
        <v>0.23019999999999999</v>
      </c>
      <c r="J15" s="1" t="s">
        <v>112</v>
      </c>
      <c r="K15" s="1">
        <v>0</v>
      </c>
    </row>
    <row r="16" spans="1:11" ht="15.75" customHeight="1" x14ac:dyDescent="0.3">
      <c r="A16" s="1" t="s">
        <v>878</v>
      </c>
      <c r="B16" s="1" t="s">
        <v>111</v>
      </c>
      <c r="C16" s="1" t="s">
        <v>879</v>
      </c>
      <c r="D16" s="1">
        <f>SQRT((F16^2 + H16^2 + G16^2 + I16^2)/4) * (1 + 1.4* SQRT(MAX(0, K16)/100) * (C16/490) * I16 + MAX(0, 1 - C16/490))</f>
        <v>0.53906112201423872</v>
      </c>
      <c r="E16" s="1">
        <v>0</v>
      </c>
      <c r="F16" s="1">
        <v>0.97731000000000001</v>
      </c>
      <c r="G16" s="1">
        <v>0.20943700000000001</v>
      </c>
      <c r="H16" s="1">
        <v>0.3322</v>
      </c>
      <c r="I16" s="1">
        <v>0.23019999999999999</v>
      </c>
      <c r="J16" s="1" t="s">
        <v>112</v>
      </c>
      <c r="K16" s="1">
        <v>0</v>
      </c>
    </row>
    <row r="17" spans="1:11" ht="15.75" customHeight="1" x14ac:dyDescent="0.3">
      <c r="A17" s="1" t="s">
        <v>599</v>
      </c>
      <c r="B17" s="1" t="s">
        <v>111</v>
      </c>
      <c r="C17" s="1" t="s">
        <v>600</v>
      </c>
      <c r="D17" s="1">
        <f>SQRT((F17^2 + H17^2 + G17^2 + I17^2)/4) * (1 + 1.4* SQRT(MAX(0, K17)/100) * (C17/490) * I17 + MAX(0, 1 - C17/490))</f>
        <v>0.72775059534499864</v>
      </c>
      <c r="E17" s="1">
        <v>0</v>
      </c>
      <c r="F17" s="1">
        <v>0.97731000000000001</v>
      </c>
      <c r="G17" s="1">
        <v>1</v>
      </c>
      <c r="H17" s="1">
        <v>0.3322</v>
      </c>
      <c r="I17" s="1">
        <v>0.23019999999999999</v>
      </c>
      <c r="J17" s="1" t="s">
        <v>112</v>
      </c>
      <c r="K17" s="1">
        <v>0</v>
      </c>
    </row>
    <row r="18" spans="1:11" ht="15.75" customHeight="1" x14ac:dyDescent="0.3">
      <c r="A18" s="1" t="s">
        <v>853</v>
      </c>
      <c r="B18" s="1" t="s">
        <v>111</v>
      </c>
      <c r="C18" s="1" t="s">
        <v>421</v>
      </c>
      <c r="D18" s="1">
        <f>SQRT((F18^2 + H18^2 + G18^2 + I18^2)/4) * (1 + 1.4* SQRT(MAX(0, K18)/100) * (C18/490) * I18 + MAX(0, 1 - C18/490))</f>
        <v>0.57870103103062343</v>
      </c>
      <c r="E18" s="1">
        <v>7.0621470000000004</v>
      </c>
      <c r="F18" s="1">
        <v>0.95377000000000001</v>
      </c>
      <c r="G18" s="1">
        <v>0.41720800000000002</v>
      </c>
      <c r="H18" s="1">
        <v>0.3322</v>
      </c>
      <c r="I18" s="1">
        <v>0.23019999999999999</v>
      </c>
      <c r="J18" s="1" t="s">
        <v>112</v>
      </c>
      <c r="K18" s="1">
        <v>0.61168529846024045</v>
      </c>
    </row>
    <row r="19" spans="1:11" ht="15.75" customHeight="1" x14ac:dyDescent="0.3">
      <c r="A19" s="1" t="s">
        <v>839</v>
      </c>
      <c r="B19" s="1" t="s">
        <v>45</v>
      </c>
      <c r="C19" s="1" t="s">
        <v>840</v>
      </c>
      <c r="D19" s="1">
        <f>SQRT((F19^2 + H19^2 + G19^2 + I19^2)/4) * (1 + 1.4* SQRT(MAX(0, K19)/100) * (C19/490) * I19 + MAX(0, 1 - C19/490))</f>
        <v>0.58493697420341784</v>
      </c>
      <c r="E19" s="1">
        <v>0.40404000000000001</v>
      </c>
      <c r="F19" s="1">
        <v>0.94055999999999995</v>
      </c>
      <c r="G19" s="1">
        <v>3.8669000000000002E-2</v>
      </c>
      <c r="H19" s="1">
        <v>0.35520000000000002</v>
      </c>
      <c r="I19" s="1">
        <v>0.59689999999999999</v>
      </c>
      <c r="J19" s="1" t="s">
        <v>47</v>
      </c>
      <c r="K19" s="1">
        <v>0</v>
      </c>
    </row>
    <row r="20" spans="1:11" ht="15.75" customHeight="1" x14ac:dyDescent="0.3">
      <c r="A20" s="1" t="s">
        <v>712</v>
      </c>
      <c r="B20" s="1" t="s">
        <v>45</v>
      </c>
      <c r="C20" s="1" t="s">
        <v>713</v>
      </c>
      <c r="D20" s="1">
        <f>SQRT((F20^2 + H20^2 + G20^2 + I20^2)/4) * (1 + 1.4* SQRT(MAX(0, K20)/100) * (C20/490) * I20 + MAX(0, 1 - C20/490))</f>
        <v>0.63691462617214245</v>
      </c>
      <c r="E20" s="1">
        <v>0.16750399999999999</v>
      </c>
      <c r="F20" s="1">
        <v>0.94134799999999996</v>
      </c>
      <c r="G20" s="1">
        <v>0.50403200000000004</v>
      </c>
      <c r="H20" s="1">
        <v>0.35520000000000002</v>
      </c>
      <c r="I20" s="1">
        <v>0.59689999999999999</v>
      </c>
      <c r="J20" s="1" t="s">
        <v>47</v>
      </c>
      <c r="K20" s="1">
        <v>0</v>
      </c>
    </row>
    <row r="21" spans="1:11" ht="15.75" customHeight="1" x14ac:dyDescent="0.3">
      <c r="A21" s="1" t="s">
        <v>645</v>
      </c>
      <c r="B21" s="1" t="s">
        <v>21</v>
      </c>
      <c r="C21" s="1" t="s">
        <v>646</v>
      </c>
      <c r="D21" s="1">
        <f>SQRT((F21^2 + H21^2 + G21^2 + I21^2)/4) * (1 + 1.4* SQRT(MAX(0, K21)/100) * (C21/490) * I21 + MAX(0, 1 - C21/490))</f>
        <v>0.67903544998731014</v>
      </c>
      <c r="E21" s="1">
        <v>0</v>
      </c>
      <c r="F21" s="1">
        <v>0.96971799999999997</v>
      </c>
      <c r="G21" s="1">
        <v>0.62268900000000005</v>
      </c>
      <c r="H21" s="1">
        <v>0.3493</v>
      </c>
      <c r="I21" s="1">
        <v>0.43209999999999998</v>
      </c>
      <c r="K21" s="1">
        <v>0.61168529846024045</v>
      </c>
    </row>
    <row r="22" spans="1:11" ht="15.75" customHeight="1" x14ac:dyDescent="0.3">
      <c r="A22" s="1" t="s">
        <v>838</v>
      </c>
      <c r="B22" s="1" t="s">
        <v>45</v>
      </c>
      <c r="C22" s="1" t="s">
        <v>768</v>
      </c>
      <c r="D22" s="1">
        <f>SQRT((F22^2 + H22^2 + G22^2 + I22^2)/4) * (1 + 1.4* SQRT(MAX(0, K22)/100) * (C22/490) * I22 + MAX(0, 1 - C22/490))</f>
        <v>0.58520429758781678</v>
      </c>
      <c r="E22" s="1">
        <v>0.62305299999999997</v>
      </c>
      <c r="F22" s="1">
        <v>0.93983000000000005</v>
      </c>
      <c r="G22" s="1">
        <v>6.4181000000000002E-2</v>
      </c>
      <c r="H22" s="1">
        <v>0.35520000000000002</v>
      </c>
      <c r="I22" s="1">
        <v>0.59689999999999999</v>
      </c>
      <c r="J22" s="1" t="s">
        <v>47</v>
      </c>
      <c r="K22" s="1">
        <v>0</v>
      </c>
    </row>
    <row r="23" spans="1:11" ht="15.75" customHeight="1" x14ac:dyDescent="0.3">
      <c r="A23" s="1" t="s">
        <v>455</v>
      </c>
      <c r="B23" s="1" t="s">
        <v>21</v>
      </c>
      <c r="C23" s="1" t="s">
        <v>456</v>
      </c>
      <c r="D23" s="1">
        <f>SQRT((F23^2 + H23^2 + G23^2 + I23^2)/4) * (1 + 1.4* SQRT(MAX(0, K23)/100) * (C23/490) * I23 + MAX(0, 1 - C23/490))</f>
        <v>0.78666975943958151</v>
      </c>
      <c r="E23" s="1">
        <v>0.65359500000000004</v>
      </c>
      <c r="F23" s="1">
        <v>0.96753900000000004</v>
      </c>
      <c r="G23" s="1">
        <v>0.98082599999999998</v>
      </c>
      <c r="H23" s="1">
        <v>0.3493</v>
      </c>
      <c r="I23" s="1">
        <v>0.43209999999999998</v>
      </c>
      <c r="K23" s="1">
        <v>0.61168529846024045</v>
      </c>
    </row>
    <row r="24" spans="1:11" ht="15.75" customHeight="1" x14ac:dyDescent="0.3">
      <c r="A24" s="1" t="s">
        <v>451</v>
      </c>
      <c r="B24" s="1" t="s">
        <v>45</v>
      </c>
      <c r="C24" s="1" t="s">
        <v>452</v>
      </c>
      <c r="D24" s="1">
        <f>SQRT((F24^2 + H24^2 + G24^2 + I24^2)/4) * (1 + 1.4* SQRT(MAX(0, K24)/100) * (C24/490) * I24 + MAX(0, 1 - C24/490))</f>
        <v>0.79488326376986262</v>
      </c>
      <c r="E24" s="1">
        <v>13.068182</v>
      </c>
      <c r="F24" s="1">
        <v>0.89834599999999998</v>
      </c>
      <c r="G24" s="1">
        <v>0.32058900000000001</v>
      </c>
      <c r="H24" s="1">
        <v>0.35520000000000002</v>
      </c>
      <c r="I24" s="1">
        <v>0.59689999999999999</v>
      </c>
      <c r="J24" s="1" t="s">
        <v>47</v>
      </c>
      <c r="K24" s="1">
        <v>1.1976047904191616</v>
      </c>
    </row>
    <row r="25" spans="1:11" ht="15.75" customHeight="1" x14ac:dyDescent="0.3">
      <c r="A25" s="1" t="s">
        <v>320</v>
      </c>
      <c r="B25" s="1" t="s">
        <v>45</v>
      </c>
      <c r="C25" s="1" t="s">
        <v>321</v>
      </c>
      <c r="D25" s="1">
        <f>SQRT((F25^2 + H25^2 + G25^2 + I25^2)/4) * (1 + 1.4* SQRT(MAX(0, K25)/100) * (C25/490) * I25 + MAX(0, 1 - C25/490))</f>
        <v>0.93002532323374243</v>
      </c>
      <c r="E25" s="1">
        <v>0</v>
      </c>
      <c r="F25" s="1">
        <v>0.94190700000000005</v>
      </c>
      <c r="G25" s="1">
        <v>0.69344600000000001</v>
      </c>
      <c r="H25" s="1">
        <v>0.35520000000000002</v>
      </c>
      <c r="I25" s="1">
        <v>0.59689999999999999</v>
      </c>
      <c r="J25" s="1" t="s">
        <v>47</v>
      </c>
      <c r="K25" s="1">
        <v>0</v>
      </c>
    </row>
    <row r="26" spans="1:11" ht="15.75" customHeight="1" x14ac:dyDescent="0.3">
      <c r="A26" s="1" t="s">
        <v>757</v>
      </c>
      <c r="B26" s="1" t="s">
        <v>24</v>
      </c>
      <c r="C26" s="1" t="s">
        <v>758</v>
      </c>
      <c r="D26" s="1">
        <f>SQRT((F26^2 + H26^2 + G26^2 + I26^2)/4) * (1 + 1.4* SQRT(MAX(0, K26)/100) * (C26/490) * I26 + MAX(0, 1 - C26/490))</f>
        <v>0.6180735515420207</v>
      </c>
      <c r="E26" s="1">
        <v>3.0434779999999999</v>
      </c>
      <c r="F26" s="1">
        <v>0.94582599999999994</v>
      </c>
      <c r="G26" s="1">
        <v>0.25105300000000003</v>
      </c>
      <c r="H26" s="1">
        <v>0.34870000000000001</v>
      </c>
      <c r="I26" s="1">
        <v>0.43209999999999998</v>
      </c>
      <c r="K26" s="1">
        <v>0.43478260869565216</v>
      </c>
    </row>
    <row r="27" spans="1:11" ht="15.75" customHeight="1" x14ac:dyDescent="0.3">
      <c r="A27" s="1" t="s">
        <v>720</v>
      </c>
      <c r="B27" s="1" t="s">
        <v>12</v>
      </c>
      <c r="C27" s="1" t="s">
        <v>538</v>
      </c>
      <c r="D27" s="1">
        <f>SQRT((F27^2 + H27^2 + G27^2 + I27^2)/4) * (1 + 1.4* SQRT(MAX(0, K27)/100) * (C27/490) * I27 + MAX(0, 1 - C27/490))</f>
        <v>0.63478960097801407</v>
      </c>
      <c r="E27" s="1">
        <v>0.33556999999999998</v>
      </c>
      <c r="F27" s="1">
        <v>0.97855300000000001</v>
      </c>
      <c r="G27" s="1">
        <v>0.374444</v>
      </c>
      <c r="H27" s="1">
        <v>0.33129999999999998</v>
      </c>
      <c r="I27" s="1">
        <v>0.46929999999999999</v>
      </c>
      <c r="J27" s="1" t="s">
        <v>14</v>
      </c>
      <c r="K27" s="1">
        <v>0.61168529846024045</v>
      </c>
    </row>
    <row r="28" spans="1:11" ht="15.75" customHeight="1" x14ac:dyDescent="0.3">
      <c r="A28" s="1" t="s">
        <v>677</v>
      </c>
      <c r="B28" s="1" t="s">
        <v>12</v>
      </c>
      <c r="C28" s="1" t="s">
        <v>678</v>
      </c>
      <c r="D28" s="1">
        <f>SQRT((F28^2 + H28^2 + G28^2 + I28^2)/4) * (1 + 1.4* SQRT(MAX(0, K28)/100) * (C28/490) * I28 + MAX(0, 1 - C28/490))</f>
        <v>0.65299805766365038</v>
      </c>
      <c r="E28" s="1">
        <v>0.21482299999999999</v>
      </c>
      <c r="F28" s="1">
        <v>0.97895500000000002</v>
      </c>
      <c r="G28" s="1">
        <v>0.64596500000000001</v>
      </c>
      <c r="H28" s="1">
        <v>0.33129999999999998</v>
      </c>
      <c r="I28" s="1">
        <v>0.46929999999999999</v>
      </c>
      <c r="J28" s="1" t="s">
        <v>14</v>
      </c>
      <c r="K28" s="1">
        <v>-0.21595356998245377</v>
      </c>
    </row>
    <row r="29" spans="1:11" ht="15.75" customHeight="1" x14ac:dyDescent="0.3">
      <c r="A29" s="1" t="s">
        <v>360</v>
      </c>
      <c r="B29" s="1" t="s">
        <v>49</v>
      </c>
      <c r="C29" s="1" t="s">
        <v>160</v>
      </c>
      <c r="D29" s="1">
        <f>SQRT((F29^2 + H29^2 + G29^2 + I29^2)/4) * (1 + 1.4* SQRT(MAX(0, K29)/100) * (C29/490) * I29 + MAX(0, 1 - C29/490))</f>
        <v>0.89442798787053368</v>
      </c>
      <c r="E29" s="1">
        <v>0</v>
      </c>
      <c r="F29" s="1">
        <v>0.97372599999999998</v>
      </c>
      <c r="G29" s="1">
        <v>0.187137</v>
      </c>
      <c r="H29" s="1">
        <v>0.35149999999999998</v>
      </c>
      <c r="I29" s="1">
        <v>0.43209999999999998</v>
      </c>
      <c r="K29" s="1">
        <v>0.43795620437956206</v>
      </c>
    </row>
    <row r="30" spans="1:11" ht="15.75" customHeight="1" x14ac:dyDescent="0.3">
      <c r="A30" s="1" t="s">
        <v>625</v>
      </c>
      <c r="B30" s="1" t="s">
        <v>36</v>
      </c>
      <c r="C30" s="1" t="s">
        <v>626</v>
      </c>
      <c r="D30" s="1">
        <f>SQRT((F30^2 + H30^2 + G30^2 + I30^2)/4) * (1 + 1.4* SQRT(MAX(0, K30)/100) * (C30/490) * I30 + MAX(0, 1 - C30/490))</f>
        <v>0.69969467651204698</v>
      </c>
      <c r="E30" s="1">
        <v>1.4742010000000001</v>
      </c>
      <c r="F30" s="1">
        <v>0.91052699999999998</v>
      </c>
      <c r="G30" s="1">
        <v>0.411856</v>
      </c>
      <c r="H30" s="1">
        <v>0.36220000000000002</v>
      </c>
      <c r="I30" s="1">
        <v>0.43209999999999998</v>
      </c>
      <c r="K30" s="1">
        <v>0.99826388888888884</v>
      </c>
    </row>
    <row r="31" spans="1:11" ht="15.75" customHeight="1" x14ac:dyDescent="0.3">
      <c r="A31" s="1" t="s">
        <v>674</v>
      </c>
      <c r="B31" s="1" t="s">
        <v>49</v>
      </c>
      <c r="C31" s="1" t="s">
        <v>526</v>
      </c>
      <c r="D31" s="1">
        <f>SQRT((F31^2 + H31^2 + G31^2 + I31^2)/4) * (1 + 1.4* SQRT(MAX(0, K31)/100) * (C31/490) * I31 + MAX(0, 1 - C31/490))</f>
        <v>0.65414407667297259</v>
      </c>
      <c r="E31" s="1">
        <v>0</v>
      </c>
      <c r="F31" s="1">
        <v>0.97372599999999998</v>
      </c>
      <c r="G31" s="1">
        <v>0.56116299999999997</v>
      </c>
      <c r="H31" s="1">
        <v>0.35149999999999998</v>
      </c>
      <c r="I31" s="1">
        <v>0.43209999999999998</v>
      </c>
      <c r="K31" s="1">
        <v>0.18839103869653767</v>
      </c>
    </row>
    <row r="32" spans="1:11" ht="15.75" customHeight="1" x14ac:dyDescent="0.3">
      <c r="A32" s="1" t="s">
        <v>569</v>
      </c>
      <c r="B32" s="1" t="s">
        <v>45</v>
      </c>
      <c r="C32" s="1" t="s">
        <v>477</v>
      </c>
      <c r="D32" s="1">
        <f>SQRT((F32^2 + H32^2 + G32^2 + I32^2)/4) * (1 + 1.4* SQRT(MAX(0, K32)/100) * (C32/490) * I32 + MAX(0, 1 - C32/490))</f>
        <v>0.74272404152205773</v>
      </c>
      <c r="E32" s="1">
        <v>0.42553200000000002</v>
      </c>
      <c r="F32" s="1">
        <v>0.94048799999999999</v>
      </c>
      <c r="G32" s="1">
        <v>0.73503499999999999</v>
      </c>
      <c r="H32" s="1">
        <v>0.35520000000000002</v>
      </c>
      <c r="I32" s="1">
        <v>0.59689999999999999</v>
      </c>
      <c r="J32" s="1" t="s">
        <v>47</v>
      </c>
      <c r="K32" s="1">
        <v>0.18839103869653767</v>
      </c>
    </row>
    <row r="33" spans="1:11" ht="15.75" customHeight="1" x14ac:dyDescent="0.3">
      <c r="A33" s="1" t="s">
        <v>643</v>
      </c>
      <c r="B33" s="1" t="s">
        <v>45</v>
      </c>
      <c r="C33" s="1" t="s">
        <v>644</v>
      </c>
      <c r="D33" s="1">
        <f>SQRT((F33^2 + H33^2 + G33^2 + I33^2)/4) * (1 + 1.4* SQRT(MAX(0, K33)/100) * (C33/490) * I33 + MAX(0, 1 - C33/490))</f>
        <v>0.67984474660670691</v>
      </c>
      <c r="E33" s="1">
        <v>0.72332700000000005</v>
      </c>
      <c r="F33" s="1">
        <v>0.939496</v>
      </c>
      <c r="G33" s="1">
        <v>0.392318</v>
      </c>
      <c r="H33" s="1">
        <v>0.35520000000000002</v>
      </c>
      <c r="I33" s="1">
        <v>0.59689999999999999</v>
      </c>
      <c r="J33" s="1" t="s">
        <v>47</v>
      </c>
      <c r="K33" s="1">
        <v>1.1976047904191616</v>
      </c>
    </row>
    <row r="34" spans="1:11" ht="15.75" customHeight="1" x14ac:dyDescent="0.3">
      <c r="A34" s="1" t="s">
        <v>357</v>
      </c>
      <c r="B34" s="1" t="s">
        <v>36</v>
      </c>
      <c r="C34" s="1" t="s">
        <v>358</v>
      </c>
      <c r="D34" s="1">
        <f>SQRT((F34^2 + H34^2 + G34^2 + I34^2)/4) * (1 + 1.4* SQRT(MAX(0, K34)/100) * (C34/490) * I34 + MAX(0, 1 - C34/490))</f>
        <v>0.89940104846638358</v>
      </c>
      <c r="E34" s="1">
        <v>7.8947370000000001</v>
      </c>
      <c r="F34" s="1">
        <v>0.88912599999999997</v>
      </c>
      <c r="G34" s="1">
        <v>0</v>
      </c>
      <c r="H34" s="1">
        <v>0.36220000000000002</v>
      </c>
      <c r="I34" s="1">
        <v>0.43209999999999998</v>
      </c>
      <c r="K34" s="1">
        <v>0.99826388888888884</v>
      </c>
    </row>
    <row r="35" spans="1:11" ht="15.75" customHeight="1" x14ac:dyDescent="0.3">
      <c r="A35" s="1" t="s">
        <v>248</v>
      </c>
      <c r="B35" s="1" t="s">
        <v>45</v>
      </c>
      <c r="C35" s="1" t="s">
        <v>249</v>
      </c>
      <c r="D35" s="1">
        <f>SQRT((F35^2 + H35^2 + G35^2 + I35^2)/4) * (1 + 1.4* SQRT(MAX(0, K35)/100) * (C35/490) * I35 + MAX(0, 1 - C35/490))</f>
        <v>1.0104385892130388</v>
      </c>
      <c r="E35" s="1">
        <v>4.0540539999999998</v>
      </c>
      <c r="F35" s="1">
        <v>0.92839300000000002</v>
      </c>
      <c r="G35" s="1">
        <v>0.16483900000000001</v>
      </c>
      <c r="H35" s="1">
        <v>0.35520000000000002</v>
      </c>
      <c r="I35" s="1">
        <v>0.59689999999999999</v>
      </c>
      <c r="J35" s="1" t="s">
        <v>47</v>
      </c>
      <c r="K35" s="1">
        <v>1.1976047904191616</v>
      </c>
    </row>
    <row r="36" spans="1:11" ht="15.75" customHeight="1" x14ac:dyDescent="0.3">
      <c r="A36" s="1" t="s">
        <v>761</v>
      </c>
      <c r="B36" s="1" t="s">
        <v>49</v>
      </c>
      <c r="C36" s="1" t="s">
        <v>762</v>
      </c>
      <c r="D36" s="1">
        <f>SQRT((F36^2 + H36^2 + G36^2 + I36^2)/4) * (1 + 1.4* SQRT(MAX(0, K36)/100) * (C36/490) * I36 + MAX(0, 1 - C36/490))</f>
        <v>0.61755120418156517</v>
      </c>
      <c r="E36" s="1">
        <v>0.408163</v>
      </c>
      <c r="F36" s="1">
        <v>0.97236500000000003</v>
      </c>
      <c r="G36" s="1">
        <v>0.43893199999999999</v>
      </c>
      <c r="H36" s="1">
        <v>0.35149999999999998</v>
      </c>
      <c r="I36" s="1">
        <v>0.43209999999999998</v>
      </c>
      <c r="K36" s="1">
        <v>0.18839103869653767</v>
      </c>
    </row>
    <row r="37" spans="1:11" ht="15.75" customHeight="1" x14ac:dyDescent="0.3">
      <c r="A37" s="1" t="s">
        <v>805</v>
      </c>
      <c r="B37" s="1" t="s">
        <v>36</v>
      </c>
      <c r="C37" s="1" t="s">
        <v>806</v>
      </c>
      <c r="D37" s="1">
        <f>SQRT((F37^2 + H37^2 + G37^2 + I37^2)/4) * (1 + 1.4* SQRT(MAX(0, K37)/100) * (C37/490) * I37 + MAX(0, 1 - C37/490))</f>
        <v>0.59804808495865858</v>
      </c>
      <c r="E37" s="1">
        <v>0</v>
      </c>
      <c r="F37" s="1">
        <v>0.91544099999999995</v>
      </c>
      <c r="G37" s="1">
        <v>0.39548899999999998</v>
      </c>
      <c r="H37" s="1">
        <v>0.36220000000000002</v>
      </c>
      <c r="I37" s="1">
        <v>0.43209999999999998</v>
      </c>
      <c r="K37" s="1">
        <v>0.18839103869653767</v>
      </c>
    </row>
    <row r="38" spans="1:11" ht="15.75" customHeight="1" x14ac:dyDescent="0.3">
      <c r="A38" s="1" t="s">
        <v>464</v>
      </c>
      <c r="B38" s="1" t="s">
        <v>111</v>
      </c>
      <c r="C38" s="1" t="s">
        <v>465</v>
      </c>
      <c r="D38" s="1">
        <f>SQRT((F38^2 + H38^2 + G38^2 + I38^2)/4) * (1 + 1.4* SQRT(MAX(0, K38)/100) * (C38/490) * I38 + MAX(0, 1 - C38/490))</f>
        <v>0.78160163900435342</v>
      </c>
      <c r="E38" s="1">
        <v>0.81466400000000005</v>
      </c>
      <c r="F38" s="1">
        <v>0.97459499999999999</v>
      </c>
      <c r="G38" s="1">
        <v>1</v>
      </c>
      <c r="H38" s="1">
        <v>0.3322</v>
      </c>
      <c r="I38" s="1">
        <v>0.23019999999999999</v>
      </c>
      <c r="J38" s="1" t="s">
        <v>112</v>
      </c>
      <c r="K38" s="1">
        <v>5.443037974683544</v>
      </c>
    </row>
    <row r="39" spans="1:11" ht="15.75" customHeight="1" x14ac:dyDescent="0.3">
      <c r="A39" s="1" t="s">
        <v>601</v>
      </c>
      <c r="B39" s="1" t="s">
        <v>111</v>
      </c>
      <c r="C39" s="1" t="s">
        <v>602</v>
      </c>
      <c r="D39" s="1">
        <f>SQRT((F39^2 + H39^2 + G39^2 + I39^2)/4) * (1 + 1.4* SQRT(MAX(0, K39)/100) * (C39/490) * I39 + MAX(0, 1 - C39/490))</f>
        <v>0.72775059534499864</v>
      </c>
      <c r="E39" s="1">
        <v>0</v>
      </c>
      <c r="F39" s="1">
        <v>0.97731000000000001</v>
      </c>
      <c r="G39" s="1">
        <v>1</v>
      </c>
      <c r="H39" s="1">
        <v>0.3322</v>
      </c>
      <c r="I39" s="1">
        <v>0.23019999999999999</v>
      </c>
      <c r="J39" s="1" t="s">
        <v>112</v>
      </c>
      <c r="K39" s="1">
        <v>0</v>
      </c>
    </row>
    <row r="40" spans="1:11" ht="15.75" customHeight="1" x14ac:dyDescent="0.3">
      <c r="A40" s="1" t="s">
        <v>759</v>
      </c>
      <c r="B40" s="1" t="s">
        <v>12</v>
      </c>
      <c r="C40" s="1" t="s">
        <v>760</v>
      </c>
      <c r="D40" s="1">
        <f>SQRT((F40^2 + H40^2 + G40^2 + I40^2)/4) * (1 + 1.4* SQRT(MAX(0, K40)/100) * (C40/490) * I40 + MAX(0, 1 - C40/490))</f>
        <v>0.61758824815183289</v>
      </c>
      <c r="E40" s="1">
        <v>1.860465</v>
      </c>
      <c r="F40" s="1">
        <v>0.97346999999999995</v>
      </c>
      <c r="G40" s="1">
        <v>0.49801099999999998</v>
      </c>
      <c r="H40" s="1">
        <v>0.33129999999999998</v>
      </c>
      <c r="I40" s="1">
        <v>0.46929999999999999</v>
      </c>
      <c r="J40" s="1" t="s">
        <v>14</v>
      </c>
      <c r="K40" s="1">
        <v>-0.21595356998245377</v>
      </c>
    </row>
    <row r="41" spans="1:11" ht="15.75" customHeight="1" x14ac:dyDescent="0.3">
      <c r="A41" s="1" t="s">
        <v>369</v>
      </c>
      <c r="B41" s="1" t="s">
        <v>16</v>
      </c>
      <c r="C41" s="1" t="s">
        <v>130</v>
      </c>
      <c r="D41" s="1">
        <f>SQRT((F41^2 + H41^2 + G41^2 + I41^2)/4) * (1 + 1.4* SQRT(MAX(0, K41)/100) * (C41/490) * I41 + MAX(0, 1 - C41/490))</f>
        <v>0.88860563838572282</v>
      </c>
      <c r="E41" s="1">
        <v>0</v>
      </c>
      <c r="F41" s="1">
        <v>0.96262599999999998</v>
      </c>
      <c r="G41" s="1">
        <v>0.224388</v>
      </c>
      <c r="H41" s="1">
        <v>0.34989999999999999</v>
      </c>
      <c r="I41" s="1">
        <v>0.43209999999999998</v>
      </c>
      <c r="K41" s="1">
        <v>4.8899755501222497E-2</v>
      </c>
    </row>
    <row r="42" spans="1:11" ht="15.75" customHeight="1" x14ac:dyDescent="0.3">
      <c r="A42" s="1" t="s">
        <v>407</v>
      </c>
      <c r="B42" s="1" t="s">
        <v>21</v>
      </c>
      <c r="C42" s="1" t="s">
        <v>408</v>
      </c>
      <c r="D42" s="1">
        <f>SQRT((F42^2 + H42^2 + G42^2 + I42^2)/4) * (1 + 1.4* SQRT(MAX(0, K42)/100) * (C42/490) * I42 + MAX(0, 1 - C42/490))</f>
        <v>0.84412890889334891</v>
      </c>
      <c r="E42" s="1">
        <v>4.225352</v>
      </c>
      <c r="F42" s="1">
        <v>0.95563299999999995</v>
      </c>
      <c r="G42" s="1">
        <v>0.43674800000000003</v>
      </c>
      <c r="H42" s="1">
        <v>0.3493</v>
      </c>
      <c r="I42" s="1">
        <v>0.43209999999999998</v>
      </c>
      <c r="K42" s="1">
        <v>-0.81769187883293071</v>
      </c>
    </row>
    <row r="43" spans="1:11" ht="15.75" customHeight="1" x14ac:dyDescent="0.3">
      <c r="A43" s="1" t="s">
        <v>623</v>
      </c>
      <c r="B43" s="1" t="s">
        <v>21</v>
      </c>
      <c r="C43" s="1" t="s">
        <v>624</v>
      </c>
      <c r="D43" s="1">
        <f>SQRT((F43^2 + H43^2 + G43^2 + I43^2)/4) * (1 + 1.4* SQRT(MAX(0, K43)/100) * (C43/490) * I43 + MAX(0, 1 - C43/490))</f>
        <v>0.70099180763807611</v>
      </c>
      <c r="E43" s="1">
        <v>4.0506330000000004</v>
      </c>
      <c r="F43" s="1">
        <v>0.95621599999999995</v>
      </c>
      <c r="G43" s="1">
        <v>0.39488800000000002</v>
      </c>
      <c r="H43" s="1">
        <v>0.3493</v>
      </c>
      <c r="I43" s="1">
        <v>0.43209999999999998</v>
      </c>
      <c r="K43" s="1">
        <v>-0.81769187883293071</v>
      </c>
    </row>
    <row r="44" spans="1:11" ht="15.75" customHeight="1" x14ac:dyDescent="0.3">
      <c r="A44" s="1" t="s">
        <v>209</v>
      </c>
      <c r="B44" s="1" t="s">
        <v>49</v>
      </c>
      <c r="C44" s="1" t="s">
        <v>210</v>
      </c>
      <c r="D44" s="1">
        <f>SQRT((F44^2 + H44^2 + G44^2 + I44^2)/4) * (1 + 1.4* SQRT(MAX(0, K44)/100) * (C44/490) * I44 + MAX(0, 1 - C44/490))</f>
        <v>1.051836459764649</v>
      </c>
      <c r="E44" s="1">
        <v>0</v>
      </c>
      <c r="F44" s="1">
        <v>0.97372599999999998</v>
      </c>
      <c r="G44" s="1">
        <v>0.30886999999999998</v>
      </c>
      <c r="H44" s="1">
        <v>0.35149999999999998</v>
      </c>
      <c r="I44" s="1">
        <v>0.43209999999999998</v>
      </c>
      <c r="K44" s="1">
        <v>0.43795620437956206</v>
      </c>
    </row>
    <row r="45" spans="1:11" ht="15.75" customHeight="1" x14ac:dyDescent="0.3">
      <c r="A45" s="1" t="s">
        <v>567</v>
      </c>
      <c r="B45" s="1" t="s">
        <v>21</v>
      </c>
      <c r="C45" s="1" t="s">
        <v>568</v>
      </c>
      <c r="D45" s="1">
        <f>SQRT((F45^2 + H45^2 + G45^2 + I45^2)/4) * (1 + 1.4* SQRT(MAX(0, K45)/100) * (C45/490) * I45 + MAX(0, 1 - C45/490))</f>
        <v>0.74322058204509089</v>
      </c>
      <c r="E45" s="1">
        <v>2.9891299999999998</v>
      </c>
      <c r="F45" s="1">
        <v>0.959754</v>
      </c>
      <c r="G45" s="1">
        <v>0.83437600000000001</v>
      </c>
      <c r="H45" s="1">
        <v>0.3493</v>
      </c>
      <c r="I45" s="1">
        <v>0.43209999999999998</v>
      </c>
      <c r="K45" s="1">
        <v>0.61168529846024045</v>
      </c>
    </row>
    <row r="46" spans="1:11" ht="15.75" customHeight="1" x14ac:dyDescent="0.3">
      <c r="A46" s="1" t="s">
        <v>816</v>
      </c>
      <c r="B46" s="1" t="s">
        <v>21</v>
      </c>
      <c r="C46" s="1" t="s">
        <v>817</v>
      </c>
      <c r="D46" s="1">
        <f>SQRT((F46^2 + H46^2 + G46^2 + I46^2)/4) * (1 + 1.4* SQRT(MAX(0, K46)/100) * (C46/490) * I46 + MAX(0, 1 - C46/490))</f>
        <v>0.59388975258397081</v>
      </c>
      <c r="E46" s="1">
        <v>3.1746029999999998</v>
      </c>
      <c r="F46" s="1">
        <v>0.95913599999999999</v>
      </c>
      <c r="G46" s="1">
        <v>0.42679899999999998</v>
      </c>
      <c r="H46" s="1">
        <v>0.3493</v>
      </c>
      <c r="I46" s="1">
        <v>0.43209999999999998</v>
      </c>
      <c r="K46" s="1">
        <v>-0.81769187883293071</v>
      </c>
    </row>
    <row r="47" spans="1:11" ht="15.75" customHeight="1" x14ac:dyDescent="0.3">
      <c r="A47" s="1" t="s">
        <v>860</v>
      </c>
      <c r="B47" s="1" t="s">
        <v>24</v>
      </c>
      <c r="C47" s="1" t="s">
        <v>861</v>
      </c>
      <c r="D47" s="1">
        <f>SQRT((F47^2 + H47^2 + G47^2 + I47^2)/4) * (1 + 1.4* SQRT(MAX(0, K47)/100) * (C47/490) * I47 + MAX(0, 1 - C47/490))</f>
        <v>0.57109068728398993</v>
      </c>
      <c r="E47" s="1">
        <v>1.993355</v>
      </c>
      <c r="F47" s="1">
        <v>0.94932700000000003</v>
      </c>
      <c r="G47" s="1">
        <v>0.308309</v>
      </c>
      <c r="H47" s="1">
        <v>0.34870000000000001</v>
      </c>
      <c r="I47" s="1">
        <v>0.43209999999999998</v>
      </c>
      <c r="K47" s="1">
        <v>-1.6611295681063123</v>
      </c>
    </row>
    <row r="48" spans="1:11" ht="15.75" customHeight="1" x14ac:dyDescent="0.3">
      <c r="A48" s="1" t="s">
        <v>295</v>
      </c>
      <c r="B48" s="1" t="s">
        <v>87</v>
      </c>
      <c r="C48" s="1" t="s">
        <v>296</v>
      </c>
      <c r="D48" s="1">
        <f>SQRT((F48^2 + H48^2 + G48^2 + I48^2)/4) * (1 + 1.4* SQRT(MAX(0, K48)/100) * (C48/490) * I48 + MAX(0, 1 - C48/490))</f>
        <v>0.9456393137956266</v>
      </c>
      <c r="E48" s="1">
        <v>0</v>
      </c>
      <c r="F48" s="1">
        <v>0.88136999999999999</v>
      </c>
      <c r="G48" s="1">
        <v>0.69344600000000001</v>
      </c>
      <c r="H48" s="1">
        <v>0.32900000000000001</v>
      </c>
      <c r="I48" s="1">
        <v>0.43209999999999998</v>
      </c>
      <c r="K48" s="1">
        <v>0.61168529846024045</v>
      </c>
    </row>
    <row r="49" spans="1:11" ht="15.75" customHeight="1" x14ac:dyDescent="0.3">
      <c r="A49" s="1" t="s">
        <v>221</v>
      </c>
      <c r="B49" s="1" t="s">
        <v>87</v>
      </c>
      <c r="C49" s="1" t="s">
        <v>166</v>
      </c>
      <c r="D49" s="1">
        <f>SQRT((F49^2 + H49^2 + G49^2 + I49^2)/4) * (1 + 1.4* SQRT(MAX(0, K49)/100) * (C49/490) * I49 + MAX(0, 1 - C49/490))</f>
        <v>1.0476359588040352</v>
      </c>
      <c r="E49" s="1">
        <v>0</v>
      </c>
      <c r="F49" s="1">
        <v>0.88136999999999999</v>
      </c>
      <c r="G49" s="1">
        <v>0.69344600000000001</v>
      </c>
      <c r="H49" s="1">
        <v>0.32900000000000001</v>
      </c>
      <c r="I49" s="1">
        <v>0.43209999999999998</v>
      </c>
      <c r="K49" s="1">
        <v>7.4866310160427805</v>
      </c>
    </row>
    <row r="50" spans="1:11" ht="15.75" customHeight="1" x14ac:dyDescent="0.3">
      <c r="A50" s="1" t="s">
        <v>102</v>
      </c>
      <c r="B50" s="1" t="s">
        <v>45</v>
      </c>
      <c r="C50" s="1" t="s">
        <v>103</v>
      </c>
      <c r="D50" s="1">
        <f>SQRT((F50^2 + H50^2 + G50^2 + I50^2)/4) * (1 + 1.4* SQRT(MAX(0, K50)/100) * (C50/490) * I50 + MAX(0, 1 - C50/490))</f>
        <v>1.2076860443843662</v>
      </c>
      <c r="E50" s="1">
        <v>9.9502489999999995</v>
      </c>
      <c r="F50" s="1">
        <v>0.90873899999999996</v>
      </c>
      <c r="G50" s="1">
        <v>1</v>
      </c>
      <c r="H50" s="1">
        <v>0.35520000000000002</v>
      </c>
      <c r="I50" s="1">
        <v>0.59689999999999999</v>
      </c>
      <c r="J50" s="1" t="s">
        <v>47</v>
      </c>
      <c r="K50" s="1">
        <v>-4.9751243781094523</v>
      </c>
    </row>
    <row r="51" spans="1:11" ht="15.75" customHeight="1" x14ac:dyDescent="0.3">
      <c r="A51" s="1" t="s">
        <v>611</v>
      </c>
      <c r="B51" s="1" t="s">
        <v>12</v>
      </c>
      <c r="C51" s="1" t="s">
        <v>612</v>
      </c>
      <c r="D51" s="1">
        <f>SQRT((F51^2 + H51^2 + G51^2 + I51^2)/4) * (1 + 1.4* SQRT(MAX(0, K51)/100) * (C51/490) * I51 + MAX(0, 1 - C51/490))</f>
        <v>0.71710805661901877</v>
      </c>
      <c r="E51" s="1">
        <v>3.0456850000000002</v>
      </c>
      <c r="F51" s="1">
        <v>0.96951900000000002</v>
      </c>
      <c r="G51" s="1">
        <v>0.41018700000000002</v>
      </c>
      <c r="H51" s="1">
        <v>0.33129999999999998</v>
      </c>
      <c r="I51" s="1">
        <v>0.46929999999999999</v>
      </c>
      <c r="J51" s="1" t="s">
        <v>14</v>
      </c>
      <c r="K51" s="1">
        <v>-0.21595356998245377</v>
      </c>
    </row>
    <row r="52" spans="1:11" ht="15.75" customHeight="1" x14ac:dyDescent="0.3">
      <c r="A52" s="1" t="s">
        <v>308</v>
      </c>
      <c r="B52" s="1" t="s">
        <v>24</v>
      </c>
      <c r="C52" s="1" t="s">
        <v>309</v>
      </c>
      <c r="D52" s="1">
        <f>SQRT((F52^2 + H52^2 + G52^2 + I52^2)/4) * (1 + 1.4* SQRT(MAX(0, K52)/100) * (C52/490) * I52 + MAX(0, 1 - C52/490))</f>
        <v>0.93330579184516116</v>
      </c>
      <c r="E52" s="1">
        <v>7.7922079999999996</v>
      </c>
      <c r="F52" s="1">
        <v>0.92999699999999996</v>
      </c>
      <c r="G52" s="1">
        <v>0.23009399999999999</v>
      </c>
      <c r="H52" s="1">
        <v>0.34870000000000001</v>
      </c>
      <c r="I52" s="1">
        <v>0.43209999999999998</v>
      </c>
      <c r="K52" s="1">
        <v>-2.4793388429752068</v>
      </c>
    </row>
    <row r="53" spans="1:11" ht="15.75" customHeight="1" x14ac:dyDescent="0.3">
      <c r="A53" s="1" t="s">
        <v>672</v>
      </c>
      <c r="B53" s="1" t="s">
        <v>12</v>
      </c>
      <c r="C53" s="1" t="s">
        <v>526</v>
      </c>
      <c r="D53" s="1">
        <f>SQRT((F53^2 + H53^2 + G53^2 + I53^2)/4) * (1 + 1.4* SQRT(MAX(0, K53)/100) * (C53/490) * I53 + MAX(0, 1 - C53/490))</f>
        <v>0.65625376486022735</v>
      </c>
      <c r="E53" s="1">
        <v>0.99626400000000004</v>
      </c>
      <c r="F53" s="1">
        <v>0.97635099999999997</v>
      </c>
      <c r="G53" s="1">
        <v>0.42685699999999999</v>
      </c>
      <c r="H53" s="1">
        <v>0.33129999999999998</v>
      </c>
      <c r="I53" s="1">
        <v>0.46929999999999999</v>
      </c>
      <c r="J53" s="1" t="s">
        <v>14</v>
      </c>
      <c r="K53" s="1">
        <v>0.61168529846024045</v>
      </c>
    </row>
    <row r="54" spans="1:11" ht="15.75" customHeight="1" x14ac:dyDescent="0.3">
      <c r="A54" s="1" t="s">
        <v>729</v>
      </c>
      <c r="B54" s="1" t="s">
        <v>12</v>
      </c>
      <c r="C54" s="1" t="s">
        <v>548</v>
      </c>
      <c r="D54" s="1">
        <f>SQRT((F54^2 + H54^2 + G54^2 + I54^2)/4) * (1 + 1.4* SQRT(MAX(0, K54)/100) * (C54/490) * I54 + MAX(0, 1 - C54/490))</f>
        <v>0.62744274349338047</v>
      </c>
      <c r="E54" s="1">
        <v>0.66006600000000004</v>
      </c>
      <c r="F54" s="1">
        <v>0.97747099999999998</v>
      </c>
      <c r="G54" s="1">
        <v>0.53785300000000003</v>
      </c>
      <c r="H54" s="1">
        <v>0.33129999999999998</v>
      </c>
      <c r="I54" s="1">
        <v>0.46929999999999999</v>
      </c>
      <c r="J54" s="1" t="s">
        <v>14</v>
      </c>
      <c r="K54" s="1">
        <v>-0.21595356998245377</v>
      </c>
    </row>
    <row r="55" spans="1:11" ht="15.75" customHeight="1" x14ac:dyDescent="0.3">
      <c r="A55" s="1" t="s">
        <v>780</v>
      </c>
      <c r="B55" s="1" t="s">
        <v>24</v>
      </c>
      <c r="C55" s="1" t="s">
        <v>781</v>
      </c>
      <c r="D55" s="1">
        <f>SQRT((F55^2 + H55^2 + G55^2 + I55^2)/4) * (1 + 1.4* SQRT(MAX(0, K55)/100) * (C55/490) * I55 + MAX(0, 1 - C55/490))</f>
        <v>0.60949102439627567</v>
      </c>
      <c r="E55" s="1">
        <v>8.6956520000000008</v>
      </c>
      <c r="F55" s="1">
        <v>0.92698599999999998</v>
      </c>
      <c r="G55" s="1">
        <v>0.45361499999999999</v>
      </c>
      <c r="H55" s="1">
        <v>0.34870000000000001</v>
      </c>
      <c r="I55" s="1">
        <v>0.43209999999999998</v>
      </c>
      <c r="K55" s="1">
        <v>0.18839103869653767</v>
      </c>
    </row>
    <row r="56" spans="1:11" ht="15.75" customHeight="1" x14ac:dyDescent="0.3">
      <c r="A56" s="1" t="s">
        <v>703</v>
      </c>
      <c r="B56" s="1" t="s">
        <v>24</v>
      </c>
      <c r="C56" s="1" t="s">
        <v>704</v>
      </c>
      <c r="D56" s="1">
        <f>SQRT((F56^2 + H56^2 + G56^2 + I56^2)/4) * (1 + 1.4* SQRT(MAX(0, K56)/100) * (C56/490) * I56 + MAX(0, 1 - C56/490))</f>
        <v>0.6382421042359413</v>
      </c>
      <c r="E56" s="1">
        <v>4.1958039999999999</v>
      </c>
      <c r="F56" s="1">
        <v>0.94198499999999996</v>
      </c>
      <c r="G56" s="1">
        <v>0.437527</v>
      </c>
      <c r="H56" s="1">
        <v>0.34870000000000001</v>
      </c>
      <c r="I56" s="1">
        <v>0.43209999999999998</v>
      </c>
      <c r="K56" s="1">
        <v>0.90218423551756888</v>
      </c>
    </row>
    <row r="57" spans="1:11" ht="15.75" customHeight="1" x14ac:dyDescent="0.3">
      <c r="A57" s="1" t="s">
        <v>194</v>
      </c>
      <c r="B57" s="1" t="s">
        <v>16</v>
      </c>
      <c r="C57" s="1" t="s">
        <v>195</v>
      </c>
      <c r="D57" s="1">
        <f>SQRT((F57^2 + H57^2 + G57^2 + I57^2)/4) * (1 + 1.4* SQRT(MAX(0, K57)/100) * (C57/490) * I57 + MAX(0, 1 - C57/490))</f>
        <v>1.0678405363004075</v>
      </c>
      <c r="E57" s="1">
        <v>0</v>
      </c>
      <c r="F57" s="1">
        <v>0.96262599999999998</v>
      </c>
      <c r="G57" s="1">
        <v>0.41082999999999997</v>
      </c>
      <c r="H57" s="1">
        <v>0.34989999999999999</v>
      </c>
      <c r="I57" s="1">
        <v>0.43209999999999998</v>
      </c>
      <c r="K57" s="1">
        <v>0</v>
      </c>
    </row>
    <row r="58" spans="1:11" ht="15.75" customHeight="1" x14ac:dyDescent="0.3">
      <c r="A58" s="1" t="s">
        <v>607</v>
      </c>
      <c r="B58" s="1" t="s">
        <v>24</v>
      </c>
      <c r="C58" s="1" t="s">
        <v>608</v>
      </c>
      <c r="D58" s="1">
        <f>SQRT((F58^2 + H58^2 + G58^2 + I58^2)/4) * (1 + 1.4* SQRT(MAX(0, K58)/100) * (C58/490) * I58 + MAX(0, 1 - C58/490))</f>
        <v>0.72106421676608401</v>
      </c>
      <c r="E58" s="1">
        <v>0</v>
      </c>
      <c r="F58" s="1">
        <v>0.95597100000000002</v>
      </c>
      <c r="G58" s="1">
        <v>0.56581000000000004</v>
      </c>
      <c r="H58" s="1">
        <v>0.34870000000000001</v>
      </c>
      <c r="I58" s="1">
        <v>0.43209999999999998</v>
      </c>
      <c r="K58" s="1">
        <v>0</v>
      </c>
    </row>
    <row r="59" spans="1:11" ht="15.75" customHeight="1" x14ac:dyDescent="0.3">
      <c r="A59" s="1" t="s">
        <v>94</v>
      </c>
      <c r="B59" s="1" t="s">
        <v>24</v>
      </c>
      <c r="C59" s="1" t="s">
        <v>95</v>
      </c>
      <c r="D59" s="1">
        <f>SQRT((F59^2 + H59^2 + G59^2 + I59^2)/4) * (1 + 1.4* SQRT(MAX(0, K59)/100) * (C59/490) * I59 + MAX(0, 1 - C59/490))</f>
        <v>1.2144113156939502</v>
      </c>
      <c r="E59" s="1">
        <v>19.444444000000001</v>
      </c>
      <c r="F59" s="1">
        <v>0.89115699999999998</v>
      </c>
      <c r="G59" s="1">
        <v>0.69782599999999995</v>
      </c>
      <c r="H59" s="1">
        <v>0.34870000000000001</v>
      </c>
      <c r="I59" s="1">
        <v>0.43209999999999998</v>
      </c>
      <c r="K59" s="1">
        <v>-2.7777777777777777</v>
      </c>
    </row>
    <row r="60" spans="1:11" ht="15.75" customHeight="1" x14ac:dyDescent="0.3">
      <c r="A60" s="1" t="s">
        <v>693</v>
      </c>
      <c r="B60" s="1" t="s">
        <v>36</v>
      </c>
      <c r="C60" s="1" t="s">
        <v>694</v>
      </c>
      <c r="D60" s="1">
        <f>SQRT((F60^2 + H60^2 + G60^2 + I60^2)/4) * (1 + 1.4* SQRT(MAX(0, K60)/100) * (C60/490) * I60 + MAX(0, 1 - C60/490))</f>
        <v>0.64227894342364777</v>
      </c>
      <c r="E60" s="1">
        <v>2.5062660000000001</v>
      </c>
      <c r="F60" s="1">
        <v>0.90708699999999998</v>
      </c>
      <c r="G60" s="1">
        <v>0.61386099999999999</v>
      </c>
      <c r="H60" s="1">
        <v>0.36220000000000002</v>
      </c>
      <c r="I60" s="1">
        <v>0.43209999999999998</v>
      </c>
      <c r="K60" s="1">
        <v>0.18839103869653767</v>
      </c>
    </row>
    <row r="61" spans="1:11" ht="15.75" customHeight="1" x14ac:dyDescent="0.3">
      <c r="A61" s="1" t="s">
        <v>812</v>
      </c>
      <c r="B61" s="1" t="s">
        <v>24</v>
      </c>
      <c r="C61" s="1" t="s">
        <v>711</v>
      </c>
      <c r="D61" s="1">
        <f>SQRT((F61^2 + H61^2 + G61^2 + I61^2)/4) * (1 + 1.4* SQRT(MAX(0, K61)/100) * (C61/490) * I61 + MAX(0, 1 - C61/490))</f>
        <v>0.59628342523910705</v>
      </c>
      <c r="E61" s="1">
        <v>4.7528519999999999</v>
      </c>
      <c r="F61" s="1">
        <v>0.94012799999999996</v>
      </c>
      <c r="G61" s="1">
        <v>0.39070899999999997</v>
      </c>
      <c r="H61" s="1">
        <v>0.34870000000000001</v>
      </c>
      <c r="I61" s="1">
        <v>0.43209999999999998</v>
      </c>
      <c r="K61" s="1">
        <v>0.19102196752626552</v>
      </c>
    </row>
    <row r="62" spans="1:11" ht="15.75" customHeight="1" x14ac:dyDescent="0.3">
      <c r="A62" s="1" t="s">
        <v>820</v>
      </c>
      <c r="B62" s="1" t="s">
        <v>49</v>
      </c>
      <c r="C62" s="1" t="s">
        <v>683</v>
      </c>
      <c r="D62" s="1">
        <f>SQRT((F62^2 + H62^2 + G62^2 + I62^2)/4) * (1 + 1.4* SQRT(MAX(0, K62)/100) * (C62/490) * I62 + MAX(0, 1 - C62/490))</f>
        <v>0.59330708754994665</v>
      </c>
      <c r="E62" s="1">
        <v>0.56337999999999999</v>
      </c>
      <c r="F62" s="1">
        <v>0.97184800000000005</v>
      </c>
      <c r="G62" s="1">
        <v>0.391538</v>
      </c>
      <c r="H62" s="1">
        <v>0.35149999999999998</v>
      </c>
      <c r="I62" s="1">
        <v>0.43209999999999998</v>
      </c>
      <c r="K62" s="1">
        <v>0</v>
      </c>
    </row>
    <row r="63" spans="1:11" ht="15.75" customHeight="1" x14ac:dyDescent="0.3">
      <c r="A63" s="1" t="s">
        <v>854</v>
      </c>
      <c r="B63" s="1" t="s">
        <v>49</v>
      </c>
      <c r="C63" s="1" t="s">
        <v>855</v>
      </c>
      <c r="D63" s="1">
        <f>SQRT((F63^2 + H63^2 + G63^2 + I63^2)/4) * (1 + 1.4* SQRT(MAX(0, K63)/100) * (C63/490) * I63 + MAX(0, 1 - C63/490))</f>
        <v>0.57735394407092255</v>
      </c>
      <c r="E63" s="1">
        <v>0.31496099999999999</v>
      </c>
      <c r="F63" s="1">
        <v>0.97267599999999999</v>
      </c>
      <c r="G63" s="1">
        <v>0.27746900000000002</v>
      </c>
      <c r="H63" s="1">
        <v>0.35149999999999998</v>
      </c>
      <c r="I63" s="1">
        <v>0.43209999999999998</v>
      </c>
      <c r="K63" s="1">
        <v>-0.46073074038358514</v>
      </c>
    </row>
    <row r="64" spans="1:11" ht="15.75" customHeight="1" x14ac:dyDescent="0.3">
      <c r="A64" s="1" t="s">
        <v>732</v>
      </c>
      <c r="B64" s="1" t="s">
        <v>49</v>
      </c>
      <c r="C64" s="1" t="s">
        <v>733</v>
      </c>
      <c r="D64" s="1">
        <f>SQRT((F64^2 + H64^2 + G64^2 + I64^2)/4) * (1 + 1.4* SQRT(MAX(0, K64)/100) * (C64/490) * I64 + MAX(0, 1 - C64/490))</f>
        <v>0.62676852932618143</v>
      </c>
      <c r="E64" s="1">
        <v>2.7063600000000001</v>
      </c>
      <c r="F64" s="1">
        <v>0.96470400000000001</v>
      </c>
      <c r="G64" s="1">
        <v>0.46152900000000002</v>
      </c>
      <c r="H64" s="1">
        <v>0.35149999999999998</v>
      </c>
      <c r="I64" s="1">
        <v>0.43209999999999998</v>
      </c>
      <c r="K64" s="1">
        <v>0.18839103869653767</v>
      </c>
    </row>
    <row r="65" spans="1:11" ht="15.75" customHeight="1" x14ac:dyDescent="0.3">
      <c r="A65" s="1" t="s">
        <v>834</v>
      </c>
      <c r="B65" s="1" t="s">
        <v>49</v>
      </c>
      <c r="C65" s="1" t="s">
        <v>835</v>
      </c>
      <c r="D65" s="1">
        <f>SQRT((F65^2 + H65^2 + G65^2 + I65^2)/4) * (1 + 1.4* SQRT(MAX(0, K65)/100) * (C65/490) * I65 + MAX(0, 1 - C65/490))</f>
        <v>0.5871533885557505</v>
      </c>
      <c r="E65" s="1">
        <v>3.0534349999999999</v>
      </c>
      <c r="F65" s="1">
        <v>0.96354700000000004</v>
      </c>
      <c r="G65" s="1">
        <v>0.374581</v>
      </c>
      <c r="H65" s="1">
        <v>0.35149999999999998</v>
      </c>
      <c r="I65" s="1">
        <v>0.43209999999999998</v>
      </c>
      <c r="K65" s="1">
        <v>-0.46073074038358514</v>
      </c>
    </row>
    <row r="66" spans="1:11" ht="15.75" customHeight="1" x14ac:dyDescent="0.3">
      <c r="A66" s="1" t="s">
        <v>64</v>
      </c>
      <c r="B66" s="1" t="s">
        <v>24</v>
      </c>
      <c r="C66" s="1" t="s">
        <v>46</v>
      </c>
      <c r="D66" s="1">
        <f>SQRT((F66^2 + H66^2 + G66^2 + I66^2)/4) * (1 + 1.4* SQRT(MAX(0, K66)/100) * (C66/490) * I66 + MAX(0, 1 - C66/490))</f>
        <v>1.2716328773540799</v>
      </c>
      <c r="E66" s="1">
        <v>5.8394159999999999</v>
      </c>
      <c r="F66" s="1">
        <v>0.93650699999999998</v>
      </c>
      <c r="G66" s="1">
        <v>1</v>
      </c>
      <c r="H66" s="1">
        <v>0.34870000000000001</v>
      </c>
      <c r="I66" s="1">
        <v>0.43209999999999998</v>
      </c>
      <c r="K66" s="1">
        <v>-2.9197080291970803</v>
      </c>
    </row>
    <row r="67" spans="1:11" ht="15.75" customHeight="1" x14ac:dyDescent="0.3">
      <c r="A67" s="1" t="s">
        <v>136</v>
      </c>
      <c r="B67" s="1" t="s">
        <v>49</v>
      </c>
      <c r="C67" s="1" t="s">
        <v>137</v>
      </c>
      <c r="D67" s="1">
        <f>SQRT((F67^2 + H67^2 + G67^2 + I67^2)/4) * (1 + 1.4* SQRT(MAX(0, K67)/100) * (C67/490) * I67 + MAX(0, 1 - C67/490))</f>
        <v>1.1488720142227509</v>
      </c>
      <c r="E67" s="1">
        <v>4.7808760000000001</v>
      </c>
      <c r="F67" s="1">
        <v>0.957789</v>
      </c>
      <c r="G67" s="1">
        <v>1</v>
      </c>
      <c r="H67" s="1">
        <v>0.35149999999999998</v>
      </c>
      <c r="I67" s="1">
        <v>0.43209999999999998</v>
      </c>
      <c r="K67" s="1">
        <v>2.7888446215139444</v>
      </c>
    </row>
    <row r="68" spans="1:11" ht="15.75" customHeight="1" x14ac:dyDescent="0.3">
      <c r="A68" s="1" t="s">
        <v>179</v>
      </c>
      <c r="B68" s="1" t="s">
        <v>49</v>
      </c>
      <c r="C68" s="1" t="s">
        <v>180</v>
      </c>
      <c r="D68" s="1">
        <f>SQRT((F68^2 + H68^2 + G68^2 + I68^2)/4) * (1 + 1.4* SQRT(MAX(0, K68)/100) * (C68/490) * I68 + MAX(0, 1 - C68/490))</f>
        <v>1.0872776564173978</v>
      </c>
      <c r="E68" s="1">
        <v>6.8181820000000002</v>
      </c>
      <c r="F68" s="1">
        <v>0.95099800000000001</v>
      </c>
      <c r="G68" s="1">
        <v>1</v>
      </c>
      <c r="H68" s="1">
        <v>0.35149999999999998</v>
      </c>
      <c r="I68" s="1">
        <v>0.43209999999999998</v>
      </c>
      <c r="K68" s="1">
        <v>-2.6515151515151514</v>
      </c>
    </row>
    <row r="69" spans="1:11" ht="15.75" customHeight="1" x14ac:dyDescent="0.3">
      <c r="A69" s="1" t="s">
        <v>545</v>
      </c>
      <c r="B69" s="1" t="s">
        <v>16</v>
      </c>
      <c r="C69" s="1" t="s">
        <v>546</v>
      </c>
      <c r="D69" s="1">
        <f>SQRT((F69^2 + H69^2 + G69^2 + I69^2)/4) * (1 + 1.4* SQRT(MAX(0, K69)/100) * (C69/490) * I69 + MAX(0, 1 - C69/490))</f>
        <v>0.74596108705481401</v>
      </c>
      <c r="E69" s="1">
        <v>1.5555559999999999</v>
      </c>
      <c r="F69" s="1">
        <v>0.95743999999999996</v>
      </c>
      <c r="G69" s="1">
        <v>1</v>
      </c>
      <c r="H69" s="1">
        <v>0.34989999999999999</v>
      </c>
      <c r="I69" s="1">
        <v>0.43209999999999998</v>
      </c>
      <c r="K69" s="1">
        <v>-0.77777777777777779</v>
      </c>
    </row>
    <row r="70" spans="1:11" ht="15.75" customHeight="1" x14ac:dyDescent="0.3">
      <c r="A70" s="1" t="s">
        <v>580</v>
      </c>
      <c r="B70" s="1" t="s">
        <v>24</v>
      </c>
      <c r="C70" s="1" t="s">
        <v>581</v>
      </c>
      <c r="D70" s="1">
        <f>SQRT((F70^2 + H70^2 + G70^2 + I70^2)/4) * (1 + 1.4* SQRT(MAX(0, K70)/100) * (C70/490) * I70 + MAX(0, 1 - C70/490))</f>
        <v>0.74178713276266117</v>
      </c>
      <c r="E70" s="1">
        <v>3.3444820000000002</v>
      </c>
      <c r="F70" s="1">
        <v>0.94482299999999997</v>
      </c>
      <c r="G70" s="1">
        <v>1</v>
      </c>
      <c r="H70" s="1">
        <v>0.34870000000000001</v>
      </c>
      <c r="I70" s="1">
        <v>0.43209999999999998</v>
      </c>
      <c r="K70" s="1">
        <v>-0.21208907741251326</v>
      </c>
    </row>
    <row r="71" spans="1:11" ht="15.75" customHeight="1" x14ac:dyDescent="0.3">
      <c r="A71" s="1" t="s">
        <v>446</v>
      </c>
      <c r="B71" s="1" t="s">
        <v>21</v>
      </c>
      <c r="C71" s="1" t="s">
        <v>447</v>
      </c>
      <c r="D71" s="1">
        <f>SQRT((F71^2 + H71^2 + G71^2 + I71^2)/4) * (1 + 1.4* SQRT(MAX(0, K71)/100) * (C71/490) * I71 + MAX(0, 1 - C71/490))</f>
        <v>0.8009679543576036</v>
      </c>
      <c r="E71" s="1">
        <v>2.8901729999999999</v>
      </c>
      <c r="F71" s="1">
        <v>0.96008400000000005</v>
      </c>
      <c r="G71" s="1">
        <v>1</v>
      </c>
      <c r="H71" s="1">
        <v>0.3493</v>
      </c>
      <c r="I71" s="1">
        <v>0.43209999999999998</v>
      </c>
      <c r="K71" s="1">
        <v>0.7225433526011561</v>
      </c>
    </row>
    <row r="72" spans="1:11" ht="15.75" customHeight="1" x14ac:dyDescent="0.3">
      <c r="A72" s="1" t="s">
        <v>11</v>
      </c>
      <c r="B72" s="1" t="s">
        <v>12</v>
      </c>
      <c r="C72" s="1" t="s">
        <v>13</v>
      </c>
      <c r="D72" s="1">
        <f>SQRT((F72^2 + H72^2 + G72^2 + I72^2)/4) * (1 + 1.4* (SQRT(MAX(0, K72)/100)) * (C72/490) * I72 + MAX(0, 1 - C72/490))</f>
        <v>1.4730702846630521</v>
      </c>
      <c r="E72" s="1">
        <v>0.267237</v>
      </c>
      <c r="F72" s="1">
        <v>0.97878100000000001</v>
      </c>
      <c r="G72" s="1">
        <v>1</v>
      </c>
      <c r="H72" s="1">
        <v>0.33129999999999998</v>
      </c>
      <c r="I72" s="1">
        <v>0.46929999999999999</v>
      </c>
      <c r="J72" s="1" t="s">
        <v>14</v>
      </c>
      <c r="K72" s="1">
        <v>14.270443613041154</v>
      </c>
    </row>
    <row r="73" spans="1:11" ht="15.75" customHeight="1" x14ac:dyDescent="0.3">
      <c r="A73" s="1" t="s">
        <v>398</v>
      </c>
      <c r="B73" s="1" t="s">
        <v>36</v>
      </c>
      <c r="C73" s="1" t="s">
        <v>399</v>
      </c>
      <c r="D73" s="1">
        <f>SQRT((F73^2 + H73^2 + G73^2 + I73^2)/4) * (1 + 1.4* SQRT(MAX(0, K73)/100) * (C73/490) * I73 + MAX(0, 1 - C73/490))</f>
        <v>0.85255091194494392</v>
      </c>
      <c r="E73" s="1">
        <v>7.4074070000000001</v>
      </c>
      <c r="F73" s="1">
        <v>0.89075000000000004</v>
      </c>
      <c r="G73" s="1">
        <v>1</v>
      </c>
      <c r="H73" s="1">
        <v>0.36220000000000002</v>
      </c>
      <c r="I73" s="1">
        <v>0.43209999999999998</v>
      </c>
      <c r="K73" s="1">
        <v>-3.9506172839506171</v>
      </c>
    </row>
    <row r="74" spans="1:11" ht="15.75" customHeight="1" x14ac:dyDescent="0.3">
      <c r="A74" s="1" t="s">
        <v>20</v>
      </c>
      <c r="B74" s="1" t="s">
        <v>21</v>
      </c>
      <c r="C74" s="1" t="s">
        <v>22</v>
      </c>
      <c r="D74" s="1">
        <f>SQRT((F74^2 + H74^2 + G74^2 + I74^2)/4) * (1 + 1.4* (SQRT(MAX(0, K74)/100)) * (C74/490) * I74 + MAX(0, 1 - C74/490))</f>
        <v>1.3626835633775296</v>
      </c>
      <c r="E74" s="1">
        <v>10.526316</v>
      </c>
      <c r="F74" s="1">
        <v>0.93462999999999996</v>
      </c>
      <c r="G74" s="1">
        <v>1</v>
      </c>
      <c r="H74" s="1">
        <v>0.3493</v>
      </c>
      <c r="I74" s="1">
        <v>0.43209999999999998</v>
      </c>
      <c r="K74" s="1">
        <v>0</v>
      </c>
    </row>
    <row r="75" spans="1:11" ht="15.75" customHeight="1" x14ac:dyDescent="0.3">
      <c r="A75" s="1" t="s">
        <v>673</v>
      </c>
      <c r="B75" s="1" t="s">
        <v>45</v>
      </c>
      <c r="C75" s="1" t="s">
        <v>555</v>
      </c>
      <c r="D75" s="1">
        <f>SQRT((F75^2 + H75^2 + G75^2 + I75^2)/4) * (1 + 1.4* SQRT(MAX(0, K75)/100) * (C75/490) * I75 + MAX(0, 1 - C75/490))</f>
        <v>0.65587858923888664</v>
      </c>
      <c r="E75" s="1">
        <v>8.5987259999999992</v>
      </c>
      <c r="F75" s="1">
        <v>0.91324399999999994</v>
      </c>
      <c r="G75" s="1">
        <v>0.50473699999999999</v>
      </c>
      <c r="H75" s="1">
        <v>0.35520000000000002</v>
      </c>
      <c r="I75" s="1">
        <v>0.59689999999999999</v>
      </c>
      <c r="J75" s="1" t="s">
        <v>47</v>
      </c>
      <c r="K75" s="1">
        <v>0.18839103869653767</v>
      </c>
    </row>
    <row r="76" spans="1:11" ht="15.75" customHeight="1" x14ac:dyDescent="0.3">
      <c r="A76" s="1" t="s">
        <v>641</v>
      </c>
      <c r="B76" s="1" t="s">
        <v>45</v>
      </c>
      <c r="C76" s="1" t="s">
        <v>642</v>
      </c>
      <c r="D76" s="1">
        <f>SQRT((F76^2 + H76^2 + G76^2 + I76^2)/4) * (1 + 1.4* SQRT(MAX(0, K76)/100) * (C76/490) * I76 + MAX(0, 1 - C76/490))</f>
        <v>0.68016777370825943</v>
      </c>
      <c r="E76" s="1">
        <v>0</v>
      </c>
      <c r="F76" s="1">
        <v>0.94190700000000005</v>
      </c>
      <c r="G76" s="1">
        <v>0.69344600000000001</v>
      </c>
      <c r="H76" s="1">
        <v>0.35520000000000002</v>
      </c>
      <c r="I76" s="1">
        <v>0.59689999999999999</v>
      </c>
      <c r="J76" s="1" t="s">
        <v>47</v>
      </c>
      <c r="K76" s="1">
        <v>0</v>
      </c>
    </row>
    <row r="77" spans="1:11" ht="15.75" customHeight="1" x14ac:dyDescent="0.3">
      <c r="A77" s="1" t="s">
        <v>420</v>
      </c>
      <c r="B77" s="1" t="s">
        <v>12</v>
      </c>
      <c r="C77" s="1" t="s">
        <v>421</v>
      </c>
      <c r="D77" s="1">
        <f>SQRT((F77^2 + H77^2 + G77^2 + I77^2)/4) * (1 + 1.4* SQRT(MAX(0, K77)/100) * (C77/490) * I77 + MAX(0, 1 - C77/490))</f>
        <v>0.83320794876933335</v>
      </c>
      <c r="E77" s="1">
        <v>3.6723159999999999</v>
      </c>
      <c r="F77" s="1">
        <v>0.96743000000000001</v>
      </c>
      <c r="G77" s="1">
        <v>1</v>
      </c>
      <c r="H77" s="1">
        <v>0.33129999999999998</v>
      </c>
      <c r="I77" s="1">
        <v>0.46929999999999999</v>
      </c>
      <c r="J77" s="1" t="s">
        <v>14</v>
      </c>
      <c r="K77" s="1">
        <v>1.271186440677966</v>
      </c>
    </row>
    <row r="78" spans="1:11" ht="15.75" customHeight="1" x14ac:dyDescent="0.3">
      <c r="A78" s="1" t="s">
        <v>26</v>
      </c>
      <c r="B78" s="1" t="s">
        <v>16</v>
      </c>
      <c r="C78" s="1" t="s">
        <v>27</v>
      </c>
      <c r="D78" s="1">
        <f>SQRT((F78^2 + H78^2 + G78^2 + I78^2)/4) * (1 + 1.4* (SQRT(MAX(0, K78)/100)) * (C78/490) * I78 + MAX(0, 1 - C78/490))</f>
        <v>1.3595925721622126</v>
      </c>
      <c r="E78" s="1">
        <v>6.1728399999999999</v>
      </c>
      <c r="F78" s="1">
        <v>0.94204900000000003</v>
      </c>
      <c r="G78" s="1">
        <v>1</v>
      </c>
      <c r="H78" s="1">
        <v>0.34989999999999999</v>
      </c>
      <c r="I78" s="1">
        <v>0.43209999999999998</v>
      </c>
      <c r="K78" s="1">
        <v>-12.345679012345679</v>
      </c>
    </row>
    <row r="79" spans="1:11" ht="15.75" customHeight="1" x14ac:dyDescent="0.3">
      <c r="A79" s="1" t="s">
        <v>875</v>
      </c>
      <c r="B79" s="1" t="s">
        <v>16</v>
      </c>
      <c r="C79" s="1" t="s">
        <v>794</v>
      </c>
      <c r="D79" s="1">
        <f>SQRT((F79^2 + H79^2 + G79^2 + I79^2)/4) * (1 + 1.4* SQRT(MAX(0, K79)/100) * (C79/490) * I79 + MAX(0, 1 - C79/490))</f>
        <v>0.55292700667357531</v>
      </c>
      <c r="E79" s="1">
        <v>2.3157890000000001</v>
      </c>
      <c r="F79" s="1">
        <v>0.95490600000000003</v>
      </c>
      <c r="G79" s="1">
        <v>4.3900000000000002E-2</v>
      </c>
      <c r="H79" s="1">
        <v>0.34989999999999999</v>
      </c>
      <c r="I79" s="1">
        <v>0.43209999999999998</v>
      </c>
      <c r="K79" s="1">
        <v>0</v>
      </c>
    </row>
    <row r="80" spans="1:11" ht="15.75" customHeight="1" x14ac:dyDescent="0.3">
      <c r="A80" s="1" t="s">
        <v>342</v>
      </c>
      <c r="B80" s="1" t="s">
        <v>24</v>
      </c>
      <c r="C80" s="1" t="s">
        <v>343</v>
      </c>
      <c r="D80" s="1">
        <f>SQRT((F80^2 + H80^2 + G80^2 + I80^2)/4) * (1 + 1.4* SQRT(MAX(0, K80)/100) * (C80/490) * I80 + MAX(0, 1 - C80/490))</f>
        <v>0.91101913201823947</v>
      </c>
      <c r="E80" s="1">
        <v>0</v>
      </c>
      <c r="F80" s="1">
        <v>0.95597100000000002</v>
      </c>
      <c r="G80" s="1">
        <v>4.1918999999999998E-2</v>
      </c>
      <c r="H80" s="1">
        <v>0.34870000000000001</v>
      </c>
      <c r="I80" s="1">
        <v>0.43209999999999998</v>
      </c>
      <c r="K80" s="1">
        <v>0</v>
      </c>
    </row>
    <row r="81" spans="1:11" ht="15.75" customHeight="1" x14ac:dyDescent="0.3">
      <c r="A81" s="1" t="s">
        <v>185</v>
      </c>
      <c r="B81" s="1" t="s">
        <v>12</v>
      </c>
      <c r="C81" s="1" t="s">
        <v>186</v>
      </c>
      <c r="D81" s="1">
        <f>SQRT((F81^2 + H81^2 + G81^2 + I81^2)/4) * (1 + 1.4* SQRT(MAX(0, K81)/100) * (C81/490) * I81 + MAX(0, 1 - C81/490))</f>
        <v>1.0797533445381529</v>
      </c>
      <c r="E81" s="1">
        <v>0.71428599999999998</v>
      </c>
      <c r="F81" s="1">
        <v>0.97729100000000002</v>
      </c>
      <c r="G81" s="1">
        <v>1</v>
      </c>
      <c r="H81" s="1">
        <v>0.33129999999999998</v>
      </c>
      <c r="I81" s="1">
        <v>0.46929999999999999</v>
      </c>
      <c r="J81" s="1" t="s">
        <v>14</v>
      </c>
      <c r="K81" s="1">
        <v>0</v>
      </c>
    </row>
    <row r="82" spans="1:11" ht="15.75" customHeight="1" x14ac:dyDescent="0.3">
      <c r="A82" s="1" t="s">
        <v>884</v>
      </c>
      <c r="B82" s="1" t="s">
        <v>36</v>
      </c>
      <c r="C82" s="1" t="s">
        <v>885</v>
      </c>
      <c r="D82" s="1">
        <f>SQRT((F82^2 + H82^2 + G82^2 + I82^2)/4) * (1 + 1.4* SQRT(MAX(0, K82)/100) * (C82/490) * I82 + MAX(0, 1 - C82/490))</f>
        <v>0.52788346938931519</v>
      </c>
      <c r="E82" s="1">
        <v>6.9464540000000001</v>
      </c>
      <c r="F82" s="1">
        <v>0.89228700000000005</v>
      </c>
      <c r="G82" s="1">
        <v>2.3843E-2</v>
      </c>
      <c r="H82" s="1">
        <v>0.36220000000000002</v>
      </c>
      <c r="I82" s="1">
        <v>0.43209999999999998</v>
      </c>
      <c r="K82" s="1">
        <v>0</v>
      </c>
    </row>
    <row r="83" spans="1:11" ht="15.75" customHeight="1" x14ac:dyDescent="0.3">
      <c r="A83" s="1" t="s">
        <v>873</v>
      </c>
      <c r="B83" s="1" t="s">
        <v>16</v>
      </c>
      <c r="C83" s="1" t="s">
        <v>874</v>
      </c>
      <c r="D83" s="1">
        <f>SQRT((F83^2 + H83^2 + G83^2 + I83^2)/4) * (1 + 1.4* SQRT(MAX(0, K83)/100) * (C83/490) * I83 + MAX(0, 1 - C83/490))</f>
        <v>0.5558812234587529</v>
      </c>
      <c r="E83" s="1">
        <v>0</v>
      </c>
      <c r="F83" s="1">
        <v>0.96262599999999998</v>
      </c>
      <c r="G83" s="1">
        <v>1.5049999999999999E-2</v>
      </c>
      <c r="H83" s="1">
        <v>0.34989999999999999</v>
      </c>
      <c r="I83" s="1">
        <v>0.43209999999999998</v>
      </c>
      <c r="K83" s="1">
        <v>0</v>
      </c>
    </row>
    <row r="84" spans="1:11" ht="15.75" customHeight="1" x14ac:dyDescent="0.3">
      <c r="A84" s="1" t="s">
        <v>189</v>
      </c>
      <c r="B84" s="1" t="s">
        <v>21</v>
      </c>
      <c r="C84" s="1" t="s">
        <v>190</v>
      </c>
      <c r="D84" s="1">
        <f>SQRT((F84^2 + H84^2 + G84^2 + I84^2)/4) * (1 + 1.4* SQRT(MAX(0, K84)/100) * (C84/490) * I84 + MAX(0, 1 - C84/490))</f>
        <v>1.0758697218157414</v>
      </c>
      <c r="E84" s="1">
        <v>2.919708</v>
      </c>
      <c r="F84" s="1">
        <v>0.95998600000000001</v>
      </c>
      <c r="G84" s="1">
        <v>1</v>
      </c>
      <c r="H84" s="1">
        <v>0.3493</v>
      </c>
      <c r="I84" s="1">
        <v>0.43209999999999998</v>
      </c>
      <c r="K84" s="1">
        <v>-5.8394160583941606</v>
      </c>
    </row>
    <row r="85" spans="1:11" ht="15.75" customHeight="1" x14ac:dyDescent="0.3">
      <c r="A85" s="1" t="s">
        <v>533</v>
      </c>
      <c r="B85" s="1" t="s">
        <v>21</v>
      </c>
      <c r="C85" s="1" t="s">
        <v>534</v>
      </c>
      <c r="D85" s="1">
        <f>SQRT((F85^2 + H85^2 + G85^2 + I85^2)/4) * (1 + 1.4* SQRT(MAX(0, K85)/100) * (C85/490) * I85 + MAX(0, 1 - C85/490))</f>
        <v>0.74680519922684652</v>
      </c>
      <c r="E85" s="1">
        <v>2.8291620000000002</v>
      </c>
      <c r="F85" s="1">
        <v>0.960287</v>
      </c>
      <c r="G85" s="1">
        <v>1</v>
      </c>
      <c r="H85" s="1">
        <v>0.3493</v>
      </c>
      <c r="I85" s="1">
        <v>0.43209999999999998</v>
      </c>
      <c r="K85" s="1">
        <v>-7.2905331882480962</v>
      </c>
    </row>
    <row r="86" spans="1:11" ht="15.75" customHeight="1" x14ac:dyDescent="0.3">
      <c r="A86" s="1" t="s">
        <v>79</v>
      </c>
      <c r="B86" s="1" t="s">
        <v>21</v>
      </c>
      <c r="C86" s="1" t="s">
        <v>80</v>
      </c>
      <c r="D86" s="1">
        <f>SQRT((F86^2 + H86^2 + G86^2 + I86^2)/4) * (1 + 1.4* SQRT(MAX(0, K86)/100) * (C86/490) * I86 + MAX(0, 1 - C86/490))</f>
        <v>1.231197169346907</v>
      </c>
      <c r="E86" s="1">
        <v>4.7058819999999999</v>
      </c>
      <c r="F86" s="1">
        <v>0.95403199999999999</v>
      </c>
      <c r="G86" s="1">
        <v>1</v>
      </c>
      <c r="H86" s="1">
        <v>0.3493</v>
      </c>
      <c r="I86" s="1">
        <v>0.43209999999999998</v>
      </c>
      <c r="K86" s="1">
        <v>-4.7058823529411766</v>
      </c>
    </row>
    <row r="87" spans="1:11" ht="15.75" customHeight="1" x14ac:dyDescent="0.3">
      <c r="A87" s="1" t="s">
        <v>75</v>
      </c>
      <c r="B87" s="1" t="s">
        <v>21</v>
      </c>
      <c r="C87" s="1" t="s">
        <v>76</v>
      </c>
      <c r="D87" s="1">
        <f>SQRT((F87^2 + H87^2 + G87^2 + I87^2)/4) * (1 + 1.4* SQRT(MAX(0, K87)/100) * (C87/490) * I87 + MAX(0, 1 - C87/490))</f>
        <v>1.2361892397778675</v>
      </c>
      <c r="E87" s="1">
        <v>6.9767440000000001</v>
      </c>
      <c r="F87" s="1">
        <v>0.94646200000000003</v>
      </c>
      <c r="G87" s="1">
        <v>1</v>
      </c>
      <c r="H87" s="1">
        <v>0.3493</v>
      </c>
      <c r="I87" s="1">
        <v>0.43209999999999998</v>
      </c>
      <c r="K87" s="1">
        <v>0.58139534883720934</v>
      </c>
    </row>
    <row r="88" spans="1:11" ht="15.75" customHeight="1" x14ac:dyDescent="0.3">
      <c r="A88" s="1" t="s">
        <v>50</v>
      </c>
      <c r="B88" s="1" t="s">
        <v>45</v>
      </c>
      <c r="C88" s="1" t="s">
        <v>51</v>
      </c>
      <c r="D88" s="1">
        <f>SQRT((F88^2 + H88^2 + G88^2 + I88^2)/4) * (1 + 1.4* SQRT(MAX(0, K88)/100) * (C88/490) * I88 + MAX(0, 1 - C88/490))</f>
        <v>1.3034235500246034</v>
      </c>
      <c r="E88" s="1">
        <v>0</v>
      </c>
      <c r="F88" s="1">
        <v>0.94190700000000005</v>
      </c>
      <c r="G88" s="1">
        <v>0.69344600000000001</v>
      </c>
      <c r="H88" s="1">
        <v>0.35520000000000002</v>
      </c>
      <c r="I88" s="1">
        <v>0.59689999999999999</v>
      </c>
      <c r="J88" s="1" t="s">
        <v>47</v>
      </c>
      <c r="K88" s="1">
        <v>0</v>
      </c>
    </row>
    <row r="89" spans="1:11" ht="15.75" customHeight="1" x14ac:dyDescent="0.3">
      <c r="A89" s="1" t="s">
        <v>101</v>
      </c>
      <c r="B89" s="1" t="s">
        <v>21</v>
      </c>
      <c r="C89" s="1" t="s">
        <v>85</v>
      </c>
      <c r="D89" s="1">
        <f>SQRT((F89^2 + H89^2 + G89^2 + I89^2)/4) * (1 + 1.4* SQRT(MAX(0, K89)/100) * (C89/490) * I89 + MAX(0, 1 - C89/490))</f>
        <v>1.2077815228493056</v>
      </c>
      <c r="E89" s="1">
        <v>7.6923079999999997</v>
      </c>
      <c r="F89" s="1">
        <v>0.94407700000000006</v>
      </c>
      <c r="G89" s="1">
        <v>1</v>
      </c>
      <c r="H89" s="1">
        <v>0.3493</v>
      </c>
      <c r="I89" s="1">
        <v>0.43209999999999998</v>
      </c>
      <c r="K89" s="1">
        <v>-3.3383915022761759</v>
      </c>
    </row>
    <row r="90" spans="1:11" ht="15.75" customHeight="1" x14ac:dyDescent="0.3">
      <c r="A90" s="1" t="s">
        <v>363</v>
      </c>
      <c r="B90" s="1" t="s">
        <v>49</v>
      </c>
      <c r="C90" s="1" t="s">
        <v>364</v>
      </c>
      <c r="D90" s="1">
        <f>SQRT((F90^2 + H90^2 + G90^2 + I90^2)/4) * (1 + 1.4* SQRT(MAX(0, K90)/100) * (C90/490) * I90 + MAX(0, 1 - C90/490))</f>
        <v>0.89247861917268245</v>
      </c>
      <c r="E90" s="1">
        <v>0</v>
      </c>
      <c r="F90" s="1">
        <v>0.97372599999999998</v>
      </c>
      <c r="G90" s="1">
        <v>1</v>
      </c>
      <c r="H90" s="1">
        <v>0.35149999999999998</v>
      </c>
      <c r="I90" s="1">
        <v>0.43209999999999998</v>
      </c>
      <c r="K90" s="1">
        <v>0</v>
      </c>
    </row>
    <row r="91" spans="1:11" ht="15.75" customHeight="1" x14ac:dyDescent="0.3">
      <c r="A91" s="1" t="s">
        <v>236</v>
      </c>
      <c r="B91" s="1" t="s">
        <v>21</v>
      </c>
      <c r="C91" s="1" t="s">
        <v>237</v>
      </c>
      <c r="D91" s="1">
        <f>SQRT((F91^2 + H91^2 + G91^2 + I91^2)/4) * (1 + 1.4* SQRT(MAX(0, K91)/100) * (C91/490) * I91 + MAX(0, 1 - C91/490))</f>
        <v>1.0219111303895037</v>
      </c>
      <c r="E91" s="1">
        <v>10.596026</v>
      </c>
      <c r="F91" s="1">
        <v>0.93439799999999995</v>
      </c>
      <c r="G91" s="1">
        <v>1</v>
      </c>
      <c r="H91" s="1">
        <v>0.3493</v>
      </c>
      <c r="I91" s="1">
        <v>0.43209999999999998</v>
      </c>
      <c r="K91" s="1">
        <v>-2.9801324503311259</v>
      </c>
    </row>
    <row r="92" spans="1:11" ht="15.75" customHeight="1" x14ac:dyDescent="0.3">
      <c r="A92" s="1" t="s">
        <v>590</v>
      </c>
      <c r="B92" s="1" t="s">
        <v>24</v>
      </c>
      <c r="C92" s="1" t="s">
        <v>591</v>
      </c>
      <c r="D92" s="1">
        <f>SQRT((F92^2 + H92^2 + G92^2 + I92^2)/4) * (1 + 1.4* SQRT(MAX(0, K92)/100) * (C92/490) * I92 + MAX(0, 1 - C92/490))</f>
        <v>0.7389186613763723</v>
      </c>
      <c r="E92" s="1">
        <v>6.0546879999999996</v>
      </c>
      <c r="F92" s="1">
        <v>0.93578899999999998</v>
      </c>
      <c r="G92" s="1">
        <v>1</v>
      </c>
      <c r="H92" s="1">
        <v>0.34870000000000001</v>
      </c>
      <c r="I92" s="1">
        <v>0.43209999999999998</v>
      </c>
      <c r="K92" s="1">
        <v>-5.6640625</v>
      </c>
    </row>
    <row r="93" spans="1:11" ht="15.75" customHeight="1" x14ac:dyDescent="0.3">
      <c r="A93" s="1" t="s">
        <v>310</v>
      </c>
      <c r="B93" s="1" t="s">
        <v>21</v>
      </c>
      <c r="C93" s="1" t="s">
        <v>311</v>
      </c>
      <c r="D93" s="1">
        <f>SQRT((F93^2 + H93^2 + G93^2 + I93^2)/4) * (1 + 1.4* SQRT(MAX(0, K93)/100) * (C93/490) * I93 + MAX(0, 1 - C93/490))</f>
        <v>0.93222033389587133</v>
      </c>
      <c r="E93" s="1">
        <v>4.3596729999999999</v>
      </c>
      <c r="F93" s="1">
        <v>0.95518599999999998</v>
      </c>
      <c r="G93" s="1">
        <v>1</v>
      </c>
      <c r="H93" s="1">
        <v>0.3493</v>
      </c>
      <c r="I93" s="1">
        <v>0.43209999999999998</v>
      </c>
      <c r="K93" s="1">
        <v>0</v>
      </c>
    </row>
    <row r="94" spans="1:11" ht="15.75" customHeight="1" x14ac:dyDescent="0.3">
      <c r="A94" s="1" t="s">
        <v>307</v>
      </c>
      <c r="B94" s="1" t="s">
        <v>21</v>
      </c>
      <c r="C94" s="1" t="s">
        <v>239</v>
      </c>
      <c r="D94" s="1">
        <f>SQRT((F94^2 + H94^2 + G94^2 + I94^2)/4) * (1 + 1.4* SQRT(MAX(0, K94)/100) * (C94/490) * I94 + MAX(0, 1 - C94/490))</f>
        <v>0.93442853701038919</v>
      </c>
      <c r="E94" s="1">
        <v>0</v>
      </c>
      <c r="F94" s="1">
        <v>0.96971799999999997</v>
      </c>
      <c r="G94" s="1">
        <v>0.76904499999999998</v>
      </c>
      <c r="H94" s="1">
        <v>0.3493</v>
      </c>
      <c r="I94" s="1">
        <v>0.43209999999999998</v>
      </c>
      <c r="K94" s="1">
        <v>0</v>
      </c>
    </row>
    <row r="95" spans="1:11" ht="15.75" customHeight="1" x14ac:dyDescent="0.3">
      <c r="A95" s="1" t="s">
        <v>256</v>
      </c>
      <c r="B95" s="1" t="s">
        <v>87</v>
      </c>
      <c r="C95" s="1" t="s">
        <v>257</v>
      </c>
      <c r="D95" s="1">
        <f>SQRT((F95^2 + H95^2 + G95^2 + I95^2)/4) * (1 + 1.4* SQRT(MAX(0, K95)/100) * (C95/490) * I95 + MAX(0, 1 - C95/490))</f>
        <v>0.99665525780964415</v>
      </c>
      <c r="E95" s="1">
        <v>0</v>
      </c>
      <c r="F95" s="1">
        <v>0.88136999999999999</v>
      </c>
      <c r="G95" s="1">
        <v>0.69344600000000001</v>
      </c>
      <c r="H95" s="1">
        <v>0.32900000000000001</v>
      </c>
      <c r="I95" s="1">
        <v>0.43209999999999998</v>
      </c>
      <c r="K95" s="1">
        <v>8.7866108786610884</v>
      </c>
    </row>
    <row r="96" spans="1:11" ht="15.75" customHeight="1" x14ac:dyDescent="0.3">
      <c r="A96" s="1" t="s">
        <v>86</v>
      </c>
      <c r="B96" s="1" t="s">
        <v>87</v>
      </c>
      <c r="C96" s="1" t="s">
        <v>88</v>
      </c>
      <c r="D96" s="1">
        <f>SQRT((F96^2 + H96^2 + G96^2 + I96^2)/4) * (1 + 1.4* SQRT(MAX(0, K96)/100) * (C96/490) * I96 + MAX(0, 1 - C96/490))</f>
        <v>1.225702868537522</v>
      </c>
      <c r="E96" s="1">
        <v>0</v>
      </c>
      <c r="F96" s="1">
        <v>0.88136999999999999</v>
      </c>
      <c r="G96" s="1">
        <v>0.69344600000000001</v>
      </c>
      <c r="H96" s="1">
        <v>0.32900000000000001</v>
      </c>
      <c r="I96" s="1">
        <v>0.43209999999999998</v>
      </c>
      <c r="K96" s="1">
        <v>-18.75</v>
      </c>
    </row>
    <row r="97" spans="1:11" ht="15.75" customHeight="1" x14ac:dyDescent="0.3">
      <c r="A97" s="1" t="s">
        <v>54</v>
      </c>
      <c r="B97" s="1" t="s">
        <v>24</v>
      </c>
      <c r="C97" s="1" t="s">
        <v>55</v>
      </c>
      <c r="D97" s="1">
        <f>SQRT((F97^2 + H97^2 + G97^2 + I97^2)/4) * (1 + 1.4* SQRT(MAX(0, K97)/100) * (C97/490) * I97 + MAX(0, 1 - C97/490))</f>
        <v>1.2946133792284045</v>
      </c>
      <c r="E97" s="1">
        <v>2.3809520000000002</v>
      </c>
      <c r="F97" s="1">
        <v>0.94803499999999996</v>
      </c>
      <c r="G97" s="1">
        <v>1</v>
      </c>
      <c r="H97" s="1">
        <v>0.34870000000000001</v>
      </c>
      <c r="I97" s="1">
        <v>0.43209999999999998</v>
      </c>
      <c r="K97" s="1">
        <v>-4.7619047619047619</v>
      </c>
    </row>
    <row r="98" spans="1:11" ht="15.75" customHeight="1" x14ac:dyDescent="0.3">
      <c r="A98" s="1" t="s">
        <v>62</v>
      </c>
      <c r="B98" s="1" t="s">
        <v>24</v>
      </c>
      <c r="C98" s="1" t="s">
        <v>63</v>
      </c>
      <c r="D98" s="1">
        <f>SQRT((F98^2 + H98^2 + G98^2 + I98^2)/4) * (1 + 1.4* SQRT(MAX(0, K98)/100) * (C98/490) * I98 + MAX(0, 1 - C98/490))</f>
        <v>1.2717495436616413</v>
      </c>
      <c r="E98" s="1">
        <v>12.403100999999999</v>
      </c>
      <c r="F98" s="1">
        <v>0.914628</v>
      </c>
      <c r="G98" s="1">
        <v>1</v>
      </c>
      <c r="H98" s="1">
        <v>0.34870000000000001</v>
      </c>
      <c r="I98" s="1">
        <v>0.43209999999999998</v>
      </c>
      <c r="K98" s="1">
        <v>-6.9767441860465116</v>
      </c>
    </row>
    <row r="99" spans="1:11" ht="15.75" customHeight="1" x14ac:dyDescent="0.3">
      <c r="A99" s="1" t="s">
        <v>123</v>
      </c>
      <c r="B99" s="1" t="s">
        <v>45</v>
      </c>
      <c r="C99" s="1" t="s">
        <v>124</v>
      </c>
      <c r="D99" s="1">
        <f>SQRT((F99^2 + H99^2 + G99^2 + I99^2)/4) * (1 + 1.4* SQRT(MAX(0, K99)/100) * (C99/490) * I99 + MAX(0, 1 - C99/490))</f>
        <v>1.1688210212639396</v>
      </c>
      <c r="E99" s="1">
        <v>6.9869000000000003</v>
      </c>
      <c r="F99" s="1">
        <v>0.91861700000000002</v>
      </c>
      <c r="G99" s="1">
        <v>1</v>
      </c>
      <c r="H99" s="1">
        <v>0.35520000000000002</v>
      </c>
      <c r="I99" s="1">
        <v>0.59689999999999999</v>
      </c>
      <c r="J99" s="1" t="s">
        <v>47</v>
      </c>
      <c r="K99" s="1">
        <v>-5.2401746724890828</v>
      </c>
    </row>
    <row r="100" spans="1:11" ht="15.75" customHeight="1" x14ac:dyDescent="0.3">
      <c r="A100" s="1" t="s">
        <v>387</v>
      </c>
      <c r="B100" s="1" t="s">
        <v>45</v>
      </c>
      <c r="C100" s="1" t="s">
        <v>388</v>
      </c>
      <c r="D100" s="1">
        <f>SQRT((F100^2 + H100^2 + G100^2 + I100^2)/4) * (1 + 1.4* SQRT(MAX(0, K100)/100) * (C100/490) * I100 + MAX(0, 1 - C100/490))</f>
        <v>0.86608605132638294</v>
      </c>
      <c r="E100" s="1">
        <v>6.1538459999999997</v>
      </c>
      <c r="F100" s="1">
        <v>0.92139400000000005</v>
      </c>
      <c r="G100" s="1">
        <v>1</v>
      </c>
      <c r="H100" s="1">
        <v>0.35520000000000002</v>
      </c>
      <c r="I100" s="1">
        <v>0.59689999999999999</v>
      </c>
      <c r="J100" s="1" t="s">
        <v>47</v>
      </c>
      <c r="K100" s="1">
        <v>0.65934065934065933</v>
      </c>
    </row>
    <row r="101" spans="1:11" ht="15.75" customHeight="1" x14ac:dyDescent="0.3">
      <c r="A101" s="1" t="s">
        <v>71</v>
      </c>
      <c r="B101" s="1" t="s">
        <v>24</v>
      </c>
      <c r="C101" s="1" t="s">
        <v>72</v>
      </c>
      <c r="D101" s="1">
        <f>SQRT((F101^2 + H101^2 + G101^2 + I101^2)/4) * (1 + 1.4* SQRT(MAX(0, K101)/100) * (C101/490) * I101 + MAX(0, 1 - C101/490))</f>
        <v>1.2538537536033123</v>
      </c>
      <c r="E101" s="1">
        <v>3.9735100000000001</v>
      </c>
      <c r="F101" s="1">
        <v>0.94272599999999995</v>
      </c>
      <c r="G101" s="1">
        <v>1</v>
      </c>
      <c r="H101" s="1">
        <v>0.34870000000000001</v>
      </c>
      <c r="I101" s="1">
        <v>0.43209999999999998</v>
      </c>
      <c r="K101" s="1">
        <v>-1.9867549668874172</v>
      </c>
    </row>
    <row r="102" spans="1:11" ht="15.75" customHeight="1" x14ac:dyDescent="0.3">
      <c r="A102" s="1" t="s">
        <v>44</v>
      </c>
      <c r="B102" s="1" t="s">
        <v>45</v>
      </c>
      <c r="C102" s="1" t="s">
        <v>46</v>
      </c>
      <c r="D102" s="1">
        <f>SQRT((F102^2 + H102^2 + G102^2 + I102^2)/4) * (1 + 1.4* SQRT(MAX(0, K102)/100) * (C102/490) * I102 + MAX(0, 1 - C102/490))</f>
        <v>1.3114663545836243</v>
      </c>
      <c r="E102" s="1">
        <v>7.2992699999999999</v>
      </c>
      <c r="F102" s="1">
        <v>0.91757599999999995</v>
      </c>
      <c r="G102" s="1">
        <v>1</v>
      </c>
      <c r="H102" s="1">
        <v>0.35520000000000002</v>
      </c>
      <c r="I102" s="1">
        <v>0.59689999999999999</v>
      </c>
      <c r="J102" s="1" t="s">
        <v>47</v>
      </c>
      <c r="K102" s="1">
        <v>-11.678832116788321</v>
      </c>
    </row>
    <row r="103" spans="1:11" ht="15.75" customHeight="1" x14ac:dyDescent="0.3">
      <c r="A103" s="1" t="s">
        <v>466</v>
      </c>
      <c r="B103" s="1" t="s">
        <v>49</v>
      </c>
      <c r="C103" s="1" t="s">
        <v>467</v>
      </c>
      <c r="D103" s="1">
        <f>SQRT((F103^2 + H103^2 + G103^2 + I103^2)/4) * (1 + 1.4* SQRT(MAX(0, K103)/100) * (C103/490) * I103 + MAX(0, 1 - C103/490))</f>
        <v>0.78048599694448906</v>
      </c>
      <c r="E103" s="1">
        <v>7.5085319999999998</v>
      </c>
      <c r="F103" s="1">
        <v>0.94869700000000001</v>
      </c>
      <c r="G103" s="1">
        <v>0.1711</v>
      </c>
      <c r="H103" s="1">
        <v>0.35149999999999998</v>
      </c>
      <c r="I103" s="1">
        <v>0.43209999999999998</v>
      </c>
      <c r="K103" s="1">
        <v>0</v>
      </c>
    </row>
    <row r="104" spans="1:11" ht="15.75" customHeight="1" x14ac:dyDescent="0.3">
      <c r="A104" s="1" t="s">
        <v>652</v>
      </c>
      <c r="B104" s="1" t="s">
        <v>12</v>
      </c>
      <c r="C104" s="1" t="s">
        <v>653</v>
      </c>
      <c r="D104" s="1">
        <f>SQRT((F104^2 + H104^2 + G104^2 + I104^2)/4) * (1 + 1.4* SQRT(MAX(0, K104)/100) * (C104/490) * I104 + MAX(0, 1 - C104/490))</f>
        <v>0.6653317491030265</v>
      </c>
      <c r="E104" s="1">
        <v>0.75471699999999997</v>
      </c>
      <c r="F104" s="1">
        <v>0.97715600000000002</v>
      </c>
      <c r="G104" s="1">
        <v>0.47306700000000002</v>
      </c>
      <c r="H104" s="1">
        <v>0.33129999999999998</v>
      </c>
      <c r="I104" s="1">
        <v>0.46929999999999999</v>
      </c>
      <c r="J104" s="1" t="s">
        <v>14</v>
      </c>
      <c r="K104" s="1">
        <v>0.61168529846024045</v>
      </c>
    </row>
    <row r="105" spans="1:11" ht="15.75" customHeight="1" x14ac:dyDescent="0.3">
      <c r="A105" s="1" t="s">
        <v>605</v>
      </c>
      <c r="B105" s="1" t="s">
        <v>111</v>
      </c>
      <c r="C105" s="1" t="s">
        <v>606</v>
      </c>
      <c r="D105" s="1">
        <f>SQRT((F105^2 + H105^2 + G105^2 + I105^2)/4) * (1 + 1.4* SQRT(MAX(0, K105)/100) * (C105/490) * I105 + MAX(0, 1 - C105/490))</f>
        <v>0.72490106138769028</v>
      </c>
      <c r="E105" s="1">
        <v>2.5525530000000001</v>
      </c>
      <c r="F105" s="1">
        <v>0.96880200000000005</v>
      </c>
      <c r="G105" s="1">
        <v>1</v>
      </c>
      <c r="H105" s="1">
        <v>0.3322</v>
      </c>
      <c r="I105" s="1">
        <v>0.23019999999999999</v>
      </c>
      <c r="J105" s="1" t="s">
        <v>112</v>
      </c>
      <c r="K105" s="1">
        <v>-3.3033033033033035</v>
      </c>
    </row>
    <row r="106" spans="1:11" ht="15.75" customHeight="1" x14ac:dyDescent="0.3">
      <c r="A106" s="1" t="s">
        <v>146</v>
      </c>
      <c r="B106" s="1" t="s">
        <v>49</v>
      </c>
      <c r="C106" s="1" t="s">
        <v>147</v>
      </c>
      <c r="D106" s="1">
        <f>SQRT((F106^2 + H106^2 + G106^2 + I106^2)/4) * (1 + 1.4* SQRT(MAX(0, K106)/100) * (C106/490) * I106 + MAX(0, 1 - C106/490))</f>
        <v>1.1416043188134697</v>
      </c>
      <c r="E106" s="1">
        <v>3.2573289999999999</v>
      </c>
      <c r="F106" s="1">
        <v>0.96286799999999995</v>
      </c>
      <c r="G106" s="1">
        <v>1</v>
      </c>
      <c r="H106" s="1">
        <v>0.35149999999999998</v>
      </c>
      <c r="I106" s="1">
        <v>0.43209999999999998</v>
      </c>
      <c r="K106" s="1">
        <v>16.286644951140065</v>
      </c>
    </row>
    <row r="107" spans="1:11" ht="15.75" customHeight="1" x14ac:dyDescent="0.3">
      <c r="A107" s="1" t="s">
        <v>225</v>
      </c>
      <c r="B107" s="1" t="s">
        <v>12</v>
      </c>
      <c r="C107" s="1" t="s">
        <v>226</v>
      </c>
      <c r="D107" s="1">
        <f>SQRT((F107^2 + H107^2 + G107^2 + I107^2)/4) * (1 + 1.4* SQRT(MAX(0, K107)/100) * (C107/490) * I107 + MAX(0, 1 - C107/490))</f>
        <v>1.0360047200248124</v>
      </c>
      <c r="E107" s="1">
        <v>0</v>
      </c>
      <c r="F107" s="1">
        <v>0.97967099999999996</v>
      </c>
      <c r="G107" s="1">
        <v>0.69344600000000001</v>
      </c>
      <c r="H107" s="1">
        <v>0.33129999999999998</v>
      </c>
      <c r="I107" s="1">
        <v>0.46929999999999999</v>
      </c>
      <c r="J107" s="1" t="s">
        <v>14</v>
      </c>
      <c r="K107" s="1">
        <v>0</v>
      </c>
    </row>
    <row r="108" spans="1:11" ht="15.75" customHeight="1" x14ac:dyDescent="0.3">
      <c r="A108" s="1" t="s">
        <v>431</v>
      </c>
      <c r="B108" s="1" t="s">
        <v>49</v>
      </c>
      <c r="C108" s="1" t="s">
        <v>432</v>
      </c>
      <c r="D108" s="1">
        <f>SQRT((F108^2 + H108^2 + G108^2 + I108^2)/4) * (1 + 1.4* SQRT(MAX(0, K108)/100) * (C108/490) * I108 + MAX(0, 1 - C108/490))</f>
        <v>0.81565527133883531</v>
      </c>
      <c r="E108" s="1">
        <v>4.0449440000000001</v>
      </c>
      <c r="F108" s="1">
        <v>0.96024200000000004</v>
      </c>
      <c r="G108" s="1">
        <v>1</v>
      </c>
      <c r="H108" s="1">
        <v>0.35149999999999998</v>
      </c>
      <c r="I108" s="1">
        <v>0.43209999999999998</v>
      </c>
      <c r="K108" s="1">
        <v>-4.7191011235955056</v>
      </c>
    </row>
    <row r="109" spans="1:11" ht="15.75" customHeight="1" x14ac:dyDescent="0.3">
      <c r="A109" s="1" t="s">
        <v>117</v>
      </c>
      <c r="B109" s="1" t="s">
        <v>36</v>
      </c>
      <c r="C109" s="1" t="s">
        <v>118</v>
      </c>
      <c r="D109" s="1">
        <f>SQRT((F109^2 + H109^2 + G109^2 + I109^2)/4) * (1 + 1.4* SQRT(MAX(0, K109)/100) * (C109/490) * I109 + MAX(0, 1 - C109/490))</f>
        <v>1.1916579750862057</v>
      </c>
      <c r="E109" s="1">
        <v>6.7796609999999999</v>
      </c>
      <c r="F109" s="1">
        <v>0.89284300000000005</v>
      </c>
      <c r="G109" s="1">
        <v>1</v>
      </c>
      <c r="H109" s="1">
        <v>0.36220000000000002</v>
      </c>
      <c r="I109" s="1">
        <v>0.43209999999999998</v>
      </c>
      <c r="K109" s="1">
        <v>-0.56497175141242939</v>
      </c>
    </row>
    <row r="110" spans="1:11" ht="15.75" customHeight="1" x14ac:dyDescent="0.3">
      <c r="A110" s="1" t="s">
        <v>492</v>
      </c>
      <c r="B110" s="1" t="s">
        <v>12</v>
      </c>
      <c r="C110" s="1" t="s">
        <v>493</v>
      </c>
      <c r="D110" s="1">
        <f>SQRT((F110^2 + H110^2 + G110^2 + I110^2)/4) * (1 + 1.4* SQRT(MAX(0, K110)/100) * (C110/490) * I110 + MAX(0, 1 - C110/490))</f>
        <v>0.75400726883117652</v>
      </c>
      <c r="E110" s="1">
        <v>2.406015</v>
      </c>
      <c r="F110" s="1">
        <v>0.97165100000000004</v>
      </c>
      <c r="G110" s="1">
        <v>1</v>
      </c>
      <c r="H110" s="1">
        <v>0.33129999999999998</v>
      </c>
      <c r="I110" s="1">
        <v>0.46929999999999999</v>
      </c>
      <c r="J110" s="1" t="s">
        <v>14</v>
      </c>
      <c r="K110" s="1">
        <v>-2.8571428571428572</v>
      </c>
    </row>
    <row r="111" spans="1:11" ht="15.75" customHeight="1" x14ac:dyDescent="0.3">
      <c r="A111" s="1" t="s">
        <v>336</v>
      </c>
      <c r="B111" s="1" t="s">
        <v>49</v>
      </c>
      <c r="C111" s="1" t="s">
        <v>337</v>
      </c>
      <c r="D111" s="1">
        <f>SQRT((F111^2 + H111^2 + G111^2 + I111^2)/4) * (1 + 1.4* SQRT(MAX(0, K111)/100) * (C111/490) * I111 + MAX(0, 1 - C111/490))</f>
        <v>0.9160460581579245</v>
      </c>
      <c r="E111" s="1">
        <v>4.2216360000000002</v>
      </c>
      <c r="F111" s="1">
        <v>0.95965299999999998</v>
      </c>
      <c r="G111" s="1">
        <v>1</v>
      </c>
      <c r="H111" s="1">
        <v>0.35149999999999998</v>
      </c>
      <c r="I111" s="1">
        <v>0.43209999999999998</v>
      </c>
      <c r="K111" s="1">
        <v>-3.4300791556728232</v>
      </c>
    </row>
    <row r="112" spans="1:11" ht="15.75" customHeight="1" x14ac:dyDescent="0.3">
      <c r="A112" s="1" t="s">
        <v>119</v>
      </c>
      <c r="B112" s="1" t="s">
        <v>24</v>
      </c>
      <c r="C112" s="1" t="s">
        <v>120</v>
      </c>
      <c r="D112" s="1">
        <f>SQRT((F112^2 + H112^2 + G112^2 + I112^2)/4) * (1 + 1.4* SQRT(MAX(0, K112)/100) * (C112/490) * I112 + MAX(0, 1 - C112/490))</f>
        <v>1.1885616927453517</v>
      </c>
      <c r="E112" s="1">
        <v>4.1237110000000001</v>
      </c>
      <c r="F112" s="1">
        <v>0.94222600000000001</v>
      </c>
      <c r="G112" s="1">
        <v>1</v>
      </c>
      <c r="H112" s="1">
        <v>0.34870000000000001</v>
      </c>
      <c r="I112" s="1">
        <v>0.43209999999999998</v>
      </c>
      <c r="K112" s="1">
        <v>-3.6082474226804124</v>
      </c>
    </row>
    <row r="113" spans="1:11" ht="15.75" customHeight="1" x14ac:dyDescent="0.3">
      <c r="A113" s="1" t="s">
        <v>482</v>
      </c>
      <c r="B113" s="1" t="s">
        <v>12</v>
      </c>
      <c r="C113" s="1" t="s">
        <v>483</v>
      </c>
      <c r="D113" s="1">
        <f>SQRT((F113^2 + H113^2 + G113^2 + I113^2)/4) * (1 + 1.4* SQRT(MAX(0, K113)/100) * (C113/490) * I113 + MAX(0, 1 - C113/490))</f>
        <v>0.75922806902187501</v>
      </c>
      <c r="E113" s="1">
        <v>7.5709780000000002</v>
      </c>
      <c r="F113" s="1">
        <v>0.95443500000000003</v>
      </c>
      <c r="G113" s="1">
        <v>0.13589999999999999</v>
      </c>
      <c r="H113" s="1">
        <v>0.33129999999999998</v>
      </c>
      <c r="I113" s="1">
        <v>0.46929999999999999</v>
      </c>
      <c r="J113" s="1" t="s">
        <v>14</v>
      </c>
      <c r="K113" s="1">
        <v>0</v>
      </c>
    </row>
    <row r="114" spans="1:11" ht="15.75" customHeight="1" x14ac:dyDescent="0.3">
      <c r="A114" s="1" t="s">
        <v>586</v>
      </c>
      <c r="B114" s="1" t="s">
        <v>24</v>
      </c>
      <c r="C114" s="1" t="s">
        <v>587</v>
      </c>
      <c r="D114" s="1">
        <f>SQRT((F114^2 + H114^2 + G114^2 + I114^2)/4) * (1 + 1.4* SQRT(MAX(0, K114)/100) * (C114/490) * I114 + MAX(0, 1 - C114/490))</f>
        <v>0.74129285591121141</v>
      </c>
      <c r="E114" s="1">
        <v>3.810505</v>
      </c>
      <c r="F114" s="1">
        <v>0.94327000000000005</v>
      </c>
      <c r="G114" s="1">
        <v>1</v>
      </c>
      <c r="H114" s="1">
        <v>0.34870000000000001</v>
      </c>
      <c r="I114" s="1">
        <v>0.43209999999999998</v>
      </c>
      <c r="K114" s="1">
        <v>-0.44802867383512546</v>
      </c>
    </row>
    <row r="115" spans="1:11" ht="15.75" customHeight="1" x14ac:dyDescent="0.3">
      <c r="A115" s="1" t="s">
        <v>366</v>
      </c>
      <c r="B115" s="1" t="s">
        <v>21</v>
      </c>
      <c r="C115" s="1" t="s">
        <v>367</v>
      </c>
      <c r="D115" s="1">
        <f>SQRT((F115^2 + H115^2 + G115^2 + I115^2)/4) * (1 + 1.4* SQRT(MAX(0, K115)/100) * (C115/490) * I115 + MAX(0, 1 - C115/490))</f>
        <v>0.89090945219502993</v>
      </c>
      <c r="E115" s="1">
        <v>2.8636879999999998</v>
      </c>
      <c r="F115" s="1">
        <v>0.96017200000000003</v>
      </c>
      <c r="G115" s="1">
        <v>1</v>
      </c>
      <c r="H115" s="1">
        <v>0.3493</v>
      </c>
      <c r="I115" s="1">
        <v>0.43209999999999998</v>
      </c>
      <c r="K115" s="1">
        <v>3.2073310423825889</v>
      </c>
    </row>
    <row r="116" spans="1:11" ht="15.75" customHeight="1" x14ac:dyDescent="0.3">
      <c r="A116" s="1" t="s">
        <v>597</v>
      </c>
      <c r="B116" s="1" t="s">
        <v>36</v>
      </c>
      <c r="C116" s="1" t="s">
        <v>598</v>
      </c>
      <c r="D116" s="1">
        <f>SQRT((F116^2 + H116^2 + G116^2 + I116^2)/4) * (1 + 1.4* SQRT(MAX(0, K116)/100) * (C116/490) * I116 + MAX(0, 1 - C116/490))</f>
        <v>0.7314360999132119</v>
      </c>
      <c r="E116" s="1">
        <v>2.623907</v>
      </c>
      <c r="F116" s="1">
        <v>0.90669500000000003</v>
      </c>
      <c r="G116" s="1">
        <v>1</v>
      </c>
      <c r="H116" s="1">
        <v>0.36220000000000002</v>
      </c>
      <c r="I116" s="1">
        <v>0.43209999999999998</v>
      </c>
      <c r="K116" s="1">
        <v>-3.2069970845481048</v>
      </c>
    </row>
    <row r="117" spans="1:11" ht="15.75" customHeight="1" x14ac:dyDescent="0.3">
      <c r="A117" s="1" t="s">
        <v>234</v>
      </c>
      <c r="B117" s="1" t="s">
        <v>36</v>
      </c>
      <c r="C117" s="1" t="s">
        <v>235</v>
      </c>
      <c r="D117" s="1">
        <f>SQRT((F117^2 + H117^2 + G117^2 + I117^2)/4) * (1 + 1.4* SQRT(MAX(0, K117)/100) * (C117/490) * I117 + MAX(0, 1 - C117/490))</f>
        <v>1.0238722555958513</v>
      </c>
      <c r="E117" s="1">
        <v>4.850746</v>
      </c>
      <c r="F117" s="1">
        <v>0.89927199999999996</v>
      </c>
      <c r="G117" s="1">
        <v>1</v>
      </c>
      <c r="H117" s="1">
        <v>0.36220000000000002</v>
      </c>
      <c r="I117" s="1">
        <v>0.43209999999999998</v>
      </c>
      <c r="K117" s="1">
        <v>37.313432835820898</v>
      </c>
    </row>
    <row r="118" spans="1:11" ht="15.75" customHeight="1" x14ac:dyDescent="0.3">
      <c r="A118" s="1" t="s">
        <v>322</v>
      </c>
      <c r="B118" s="1" t="s">
        <v>49</v>
      </c>
      <c r="C118" s="1" t="s">
        <v>323</v>
      </c>
      <c r="D118" s="1">
        <f>SQRT((F118^2 + H118^2 + G118^2 + I118^2)/4) * (1 + 1.4* SQRT(MAX(0, K118)/100) * (C118/490) * I118 + MAX(0, 1 - C118/490))</f>
        <v>0.92856785362522276</v>
      </c>
      <c r="E118" s="1">
        <v>0.53475899999999998</v>
      </c>
      <c r="F118" s="1">
        <v>0.971943</v>
      </c>
      <c r="G118" s="1">
        <v>1</v>
      </c>
      <c r="H118" s="1">
        <v>0.35149999999999998</v>
      </c>
      <c r="I118" s="1">
        <v>0.43209999999999998</v>
      </c>
      <c r="K118" s="1">
        <v>-2.6737967914438503</v>
      </c>
    </row>
    <row r="119" spans="1:11" ht="15.75" customHeight="1" x14ac:dyDescent="0.3">
      <c r="A119" s="1" t="s">
        <v>254</v>
      </c>
      <c r="B119" s="1" t="s">
        <v>49</v>
      </c>
      <c r="C119" s="1" t="s">
        <v>255</v>
      </c>
      <c r="D119" s="1">
        <f>SQRT((F119^2 + H119^2 + G119^2 + I119^2)/4) * (1 + 1.4* SQRT(MAX(0, K119)/100) * (C119/490) * I119 + MAX(0, 1 - C119/490))</f>
        <v>0.99696472011665016</v>
      </c>
      <c r="E119" s="1">
        <v>8.3850929999999995</v>
      </c>
      <c r="F119" s="1">
        <v>0.94577500000000003</v>
      </c>
      <c r="G119" s="1">
        <v>1</v>
      </c>
      <c r="H119" s="1">
        <v>0.35149999999999998</v>
      </c>
      <c r="I119" s="1">
        <v>0.43209999999999998</v>
      </c>
      <c r="K119" s="1">
        <v>-7.1428571428571432</v>
      </c>
    </row>
    <row r="120" spans="1:11" ht="15.75" customHeight="1" x14ac:dyDescent="0.3">
      <c r="A120" s="1" t="s">
        <v>108</v>
      </c>
      <c r="B120" s="1" t="s">
        <v>45</v>
      </c>
      <c r="C120" s="1" t="s">
        <v>109</v>
      </c>
      <c r="D120" s="1">
        <f>SQRT((F120^2 + H120^2 + G120^2 + I120^2)/4) * (1 + 1.4* SQRT(MAX(0, K120)/100) * (C120/490) * I120 + MAX(0, 1 - C120/490))</f>
        <v>1.2003532392899721</v>
      </c>
      <c r="E120" s="1">
        <v>3.7735850000000002</v>
      </c>
      <c r="F120" s="1">
        <v>0.92932800000000004</v>
      </c>
      <c r="G120" s="1">
        <v>1</v>
      </c>
      <c r="H120" s="1">
        <v>0.35520000000000002</v>
      </c>
      <c r="I120" s="1">
        <v>0.59689999999999999</v>
      </c>
      <c r="J120" s="1" t="s">
        <v>47</v>
      </c>
      <c r="K120" s="1">
        <v>-2.8301886792452828</v>
      </c>
    </row>
    <row r="121" spans="1:11" ht="15.75" customHeight="1" x14ac:dyDescent="0.3">
      <c r="A121" s="1" t="s">
        <v>474</v>
      </c>
      <c r="B121" s="1" t="s">
        <v>45</v>
      </c>
      <c r="C121" s="1" t="s">
        <v>475</v>
      </c>
      <c r="D121" s="1">
        <f>SQRT((F121^2 + H121^2 + G121^2 + I121^2)/4) * (1 + 1.4* SQRT(MAX(0, K121)/100) * (C121/490) * I121 + MAX(0, 1 - C121/490))</f>
        <v>0.76823094294321526</v>
      </c>
      <c r="E121" s="1">
        <v>4.508197</v>
      </c>
      <c r="F121" s="1">
        <v>0.92687900000000001</v>
      </c>
      <c r="G121" s="1">
        <v>1</v>
      </c>
      <c r="H121" s="1">
        <v>0.35520000000000002</v>
      </c>
      <c r="I121" s="1">
        <v>0.59689999999999999</v>
      </c>
      <c r="J121" s="1" t="s">
        <v>47</v>
      </c>
      <c r="K121" s="1">
        <v>-5.5327868852459012</v>
      </c>
    </row>
    <row r="122" spans="1:11" ht="15.75" customHeight="1" x14ac:dyDescent="0.3">
      <c r="A122" s="1" t="s">
        <v>603</v>
      </c>
      <c r="B122" s="1" t="s">
        <v>45</v>
      </c>
      <c r="C122" s="1" t="s">
        <v>604</v>
      </c>
      <c r="D122" s="1">
        <f>SQRT((F122^2 + H122^2 + G122^2 + I122^2)/4) * (1 + 1.4* SQRT(MAX(0, K122)/100) * (C122/490) * I122 + MAX(0, 1 - C122/490))</f>
        <v>0.726518012444477</v>
      </c>
      <c r="E122" s="1">
        <v>5.1172709999999997</v>
      </c>
      <c r="F122" s="1">
        <v>0.92484900000000003</v>
      </c>
      <c r="G122" s="1">
        <v>0.65020800000000001</v>
      </c>
      <c r="H122" s="1">
        <v>0.35520000000000002</v>
      </c>
      <c r="I122" s="1">
        <v>0.59689999999999999</v>
      </c>
      <c r="J122" s="1" t="s">
        <v>47</v>
      </c>
      <c r="K122" s="1">
        <v>0.42643923240938164</v>
      </c>
    </row>
    <row r="123" spans="1:11" ht="15.75" customHeight="1" x14ac:dyDescent="0.3">
      <c r="A123" s="1" t="s">
        <v>40</v>
      </c>
      <c r="B123" s="1" t="s">
        <v>21</v>
      </c>
      <c r="C123" s="1" t="s">
        <v>41</v>
      </c>
      <c r="D123" s="1">
        <f>SQRT((F123^2 + H123^2 + G123^2 + I123^2)/4) * (1 + 1.4* SQRT(MAX(0, K123)/100) * (C123/490) * I123 + MAX(0, 1 - C123/490))</f>
        <v>1.3195185980685555</v>
      </c>
      <c r="E123" s="1">
        <v>9.4339619999999993</v>
      </c>
      <c r="F123" s="1">
        <v>0.93827099999999997</v>
      </c>
      <c r="G123" s="1">
        <v>1</v>
      </c>
      <c r="H123" s="1">
        <v>0.3493</v>
      </c>
      <c r="I123" s="1">
        <v>0.43209999999999998</v>
      </c>
      <c r="K123" s="1">
        <v>-5.6603773584905657</v>
      </c>
    </row>
    <row r="124" spans="1:11" ht="15.75" customHeight="1" x14ac:dyDescent="0.3">
      <c r="A124" s="1" t="s">
        <v>449</v>
      </c>
      <c r="B124" s="1" t="s">
        <v>49</v>
      </c>
      <c r="C124" s="1" t="s">
        <v>450</v>
      </c>
      <c r="D124" s="1">
        <f>SQRT((F124^2 + H124^2 + G124^2 + I124^2)/4) * (1 + 1.4* SQRT(MAX(0, K124)/100) * (C124/490) * I124 + MAX(0, 1 - C124/490))</f>
        <v>0.79798237913814762</v>
      </c>
      <c r="E124" s="1">
        <v>3.5010940000000002</v>
      </c>
      <c r="F124" s="1">
        <v>0.96205499999999999</v>
      </c>
      <c r="G124" s="1">
        <v>1</v>
      </c>
      <c r="H124" s="1">
        <v>0.35149999999999998</v>
      </c>
      <c r="I124" s="1">
        <v>0.43209999999999998</v>
      </c>
      <c r="K124" s="1">
        <v>-5.908096280087527</v>
      </c>
    </row>
    <row r="125" spans="1:11" ht="15.75" customHeight="1" x14ac:dyDescent="0.3">
      <c r="A125" s="1" t="s">
        <v>81</v>
      </c>
      <c r="B125" s="1" t="s">
        <v>36</v>
      </c>
      <c r="C125" s="1" t="s">
        <v>72</v>
      </c>
      <c r="D125" s="1">
        <f>SQRT((F125^2 + H125^2 + G125^2 + I125^2)/4) * (1 + 1.4* SQRT(MAX(0, K125)/100) * (C125/490) * I125 + MAX(0, 1 - C125/490))</f>
        <v>1.230513826439064</v>
      </c>
      <c r="E125" s="1">
        <v>6.6225170000000002</v>
      </c>
      <c r="F125" s="1">
        <v>0.89336599999999999</v>
      </c>
      <c r="G125" s="1">
        <v>1</v>
      </c>
      <c r="H125" s="1">
        <v>0.36220000000000002</v>
      </c>
      <c r="I125" s="1">
        <v>0.43209999999999998</v>
      </c>
      <c r="K125" s="1">
        <v>-1.9867549668874172</v>
      </c>
    </row>
    <row r="126" spans="1:11" ht="15.75" customHeight="1" x14ac:dyDescent="0.3">
      <c r="A126" s="1" t="s">
        <v>565</v>
      </c>
      <c r="B126" s="1" t="s">
        <v>24</v>
      </c>
      <c r="C126" s="1" t="s">
        <v>566</v>
      </c>
      <c r="D126" s="1">
        <f>SQRT((F126^2 + H126^2 + G126^2 + I126^2)/4) * (1 + 1.4* SQRT(MAX(0, K126)/100) * (C126/490) * I126 + MAX(0, 1 - C126/490))</f>
        <v>0.74347473275761033</v>
      </c>
      <c r="E126" s="1">
        <v>1.7573220000000001</v>
      </c>
      <c r="F126" s="1">
        <v>0.95011400000000001</v>
      </c>
      <c r="G126" s="1">
        <v>1</v>
      </c>
      <c r="H126" s="1">
        <v>0.34870000000000001</v>
      </c>
      <c r="I126" s="1">
        <v>0.43209999999999998</v>
      </c>
      <c r="K126" s="1">
        <v>0</v>
      </c>
    </row>
    <row r="127" spans="1:11" ht="15.75" customHeight="1" x14ac:dyDescent="0.3">
      <c r="A127" s="1" t="s">
        <v>372</v>
      </c>
      <c r="B127" s="1" t="s">
        <v>49</v>
      </c>
      <c r="C127" s="1" t="s">
        <v>364</v>
      </c>
      <c r="D127" s="1">
        <f>SQRT((F127^2 + H127^2 + G127^2 + I127^2)/4) * (1 + 1.4* SQRT(MAX(0, K127)/100) * (C127/490) * I127 + MAX(0, 1 - C127/490))</f>
        <v>0.886065268432917</v>
      </c>
      <c r="E127" s="1">
        <v>5.0251260000000002</v>
      </c>
      <c r="F127" s="1">
        <v>0.95697500000000002</v>
      </c>
      <c r="G127" s="1">
        <v>1</v>
      </c>
      <c r="H127" s="1">
        <v>0.35149999999999998</v>
      </c>
      <c r="I127" s="1">
        <v>0.43209999999999998</v>
      </c>
      <c r="K127" s="1">
        <v>-1.5075376884422111</v>
      </c>
    </row>
    <row r="128" spans="1:11" ht="15.75" customHeight="1" x14ac:dyDescent="0.3">
      <c r="A128" s="1" t="s">
        <v>198</v>
      </c>
      <c r="B128" s="1" t="s">
        <v>21</v>
      </c>
      <c r="C128" s="1" t="s">
        <v>199</v>
      </c>
      <c r="D128" s="1">
        <f>SQRT((F128^2 + H128^2 + G128^2 + I128^2)/4) * (1 + 1.4* SQRT(MAX(0, K128)/100) * (C128/490) * I128 + MAX(0, 1 - C128/490))</f>
        <v>1.0642264995101893</v>
      </c>
      <c r="E128" s="1">
        <v>3.558719</v>
      </c>
      <c r="F128" s="1">
        <v>0.95785600000000004</v>
      </c>
      <c r="G128" s="1">
        <v>1</v>
      </c>
      <c r="H128" s="1">
        <v>0.3493</v>
      </c>
      <c r="I128" s="1">
        <v>0.43209999999999998</v>
      </c>
      <c r="K128" s="1">
        <v>-4.9822064056939501</v>
      </c>
    </row>
    <row r="129" spans="1:11" ht="15.75" customHeight="1" x14ac:dyDescent="0.3">
      <c r="A129" s="1" t="s">
        <v>18</v>
      </c>
      <c r="B129" s="1" t="s">
        <v>12</v>
      </c>
      <c r="C129" s="1" t="s">
        <v>19</v>
      </c>
      <c r="D129" s="1">
        <f>SQRT((F129^2 + H129^2 + G129^2 + I129^2)/4) * (1 + 1.4* (SQRT(MAX(0, K129)/100)) * (C129/490) * I129 + MAX(0, 1 - C129/490))</f>
        <v>1.4087241997524202</v>
      </c>
      <c r="E129" s="1">
        <v>1.3440859999999999</v>
      </c>
      <c r="F129" s="1">
        <v>0.97519100000000003</v>
      </c>
      <c r="G129" s="1">
        <v>1</v>
      </c>
      <c r="H129" s="1">
        <v>0.33129999999999998</v>
      </c>
      <c r="I129" s="1">
        <v>0.46929999999999999</v>
      </c>
      <c r="J129" s="1" t="s">
        <v>14</v>
      </c>
      <c r="K129" s="1">
        <v>18.817204301075268</v>
      </c>
    </row>
    <row r="130" spans="1:11" ht="15.75" customHeight="1" x14ac:dyDescent="0.3">
      <c r="A130" s="1" t="s">
        <v>167</v>
      </c>
      <c r="B130" s="1" t="s">
        <v>16</v>
      </c>
      <c r="C130" s="1" t="s">
        <v>128</v>
      </c>
      <c r="D130" s="1">
        <f>SQRT((F130^2 + H130^2 + G130^2 + I130^2)/4) * (1 + 1.4* SQRT(MAX(0, K130)/100) * (C130/490) * I130 + MAX(0, 1 - C130/490))</f>
        <v>1.100080887643075</v>
      </c>
      <c r="E130" s="1">
        <v>0</v>
      </c>
      <c r="F130" s="1">
        <v>0.96262599999999998</v>
      </c>
      <c r="G130" s="1">
        <v>1</v>
      </c>
      <c r="H130" s="1">
        <v>0.34989999999999999</v>
      </c>
      <c r="I130" s="1">
        <v>0.43209999999999998</v>
      </c>
      <c r="K130" s="1">
        <v>-4.2471042471042475</v>
      </c>
    </row>
    <row r="131" spans="1:11" ht="15.75" customHeight="1" x14ac:dyDescent="0.3">
      <c r="A131" s="1" t="s">
        <v>153</v>
      </c>
      <c r="B131" s="1" t="s">
        <v>49</v>
      </c>
      <c r="C131" s="1" t="s">
        <v>154</v>
      </c>
      <c r="D131" s="1">
        <f>SQRT((F131^2 + H131^2 + G131^2 + I131^2)/4) * (1 + 1.4* SQRT(MAX(0, K131)/100) * (C131/490) * I131 + MAX(0, 1 - C131/490))</f>
        <v>1.1216026372795656</v>
      </c>
      <c r="E131" s="1">
        <v>7.7611939999999997</v>
      </c>
      <c r="F131" s="1">
        <v>0.947855</v>
      </c>
      <c r="G131" s="1">
        <v>1</v>
      </c>
      <c r="H131" s="1">
        <v>0.35149999999999998</v>
      </c>
      <c r="I131" s="1">
        <v>0.43209999999999998</v>
      </c>
      <c r="K131" s="1">
        <v>21.791044776119403</v>
      </c>
    </row>
    <row r="132" spans="1:11" ht="15.75" customHeight="1" x14ac:dyDescent="0.3">
      <c r="A132" s="1" t="s">
        <v>99</v>
      </c>
      <c r="B132" s="1" t="s">
        <v>45</v>
      </c>
      <c r="C132" s="1" t="s">
        <v>100</v>
      </c>
      <c r="D132" s="1">
        <f>SQRT((F132^2 + H132^2 + G132^2 + I132^2)/4) * (1 + 1.4* SQRT(MAX(0, K132)/100) * (C132/490) * I132 + MAX(0, 1 - C132/490))</f>
        <v>1.2090329202038652</v>
      </c>
      <c r="E132" s="1">
        <v>0</v>
      </c>
      <c r="F132" s="1">
        <v>0.94190700000000005</v>
      </c>
      <c r="G132" s="1">
        <v>0.69344600000000001</v>
      </c>
      <c r="H132" s="1">
        <v>0.35520000000000002</v>
      </c>
      <c r="I132" s="1">
        <v>0.59689999999999999</v>
      </c>
      <c r="J132" s="1" t="s">
        <v>47</v>
      </c>
      <c r="K132" s="1">
        <v>0</v>
      </c>
    </row>
    <row r="133" spans="1:11" ht="15.75" customHeight="1" x14ac:dyDescent="0.3">
      <c r="A133" s="1" t="s">
        <v>529</v>
      </c>
      <c r="B133" s="1" t="s">
        <v>21</v>
      </c>
      <c r="C133" s="1" t="s">
        <v>530</v>
      </c>
      <c r="D133" s="1">
        <f>SQRT((F133^2 + H133^2 + G133^2 + I133^2)/4) * (1 + 1.4* SQRT(MAX(0, K133)/100) * (C133/490) * I133 + MAX(0, 1 - C133/490))</f>
        <v>0.74720525358849699</v>
      </c>
      <c r="E133" s="1">
        <v>2.45614</v>
      </c>
      <c r="F133" s="1">
        <v>0.96153100000000002</v>
      </c>
      <c r="G133" s="1">
        <v>1</v>
      </c>
      <c r="H133" s="1">
        <v>0.3493</v>
      </c>
      <c r="I133" s="1">
        <v>0.43209999999999998</v>
      </c>
      <c r="K133" s="1">
        <v>-2.807017543859649</v>
      </c>
    </row>
    <row r="134" spans="1:11" ht="15.75" customHeight="1" x14ac:dyDescent="0.3">
      <c r="A134" s="1" t="s">
        <v>409</v>
      </c>
      <c r="B134" s="1" t="s">
        <v>24</v>
      </c>
      <c r="C134" s="1" t="s">
        <v>149</v>
      </c>
      <c r="D134" s="1">
        <f>SQRT((F134^2 + H134^2 + G134^2 + I134^2)/4) * (1 + 1.4* SQRT(MAX(0, K134)/100) * (C134/490) * I134 + MAX(0, 1 - C134/490))</f>
        <v>0.8427691814643915</v>
      </c>
      <c r="E134" s="1">
        <v>4.1237110000000001</v>
      </c>
      <c r="F134" s="1">
        <v>0.94222600000000001</v>
      </c>
      <c r="G134" s="1">
        <v>0.49073699999999998</v>
      </c>
      <c r="H134" s="1">
        <v>0.34870000000000001</v>
      </c>
      <c r="I134" s="1">
        <v>0.43209999999999998</v>
      </c>
      <c r="K134" s="1">
        <v>-2.4054982817869415</v>
      </c>
    </row>
    <row r="135" spans="1:11" ht="15.75" customHeight="1" x14ac:dyDescent="0.3">
      <c r="A135" s="1" t="s">
        <v>246</v>
      </c>
      <c r="B135" s="1" t="s">
        <v>49</v>
      </c>
      <c r="C135" s="1" t="s">
        <v>247</v>
      </c>
      <c r="D135" s="1">
        <f>SQRT((F135^2 + H135^2 + G135^2 + I135^2)/4) * (1 + 1.4* SQRT(MAX(0, K135)/100) * (C135/490) * I135 + MAX(0, 1 - C135/490))</f>
        <v>1.0141943087945657</v>
      </c>
      <c r="E135" s="1">
        <v>3.8095240000000001</v>
      </c>
      <c r="F135" s="1">
        <v>0.96102699999999996</v>
      </c>
      <c r="G135" s="1">
        <v>1</v>
      </c>
      <c r="H135" s="1">
        <v>0.35149999999999998</v>
      </c>
      <c r="I135" s="1">
        <v>0.43209999999999998</v>
      </c>
      <c r="K135" s="1">
        <v>-1.5873015873015872</v>
      </c>
    </row>
    <row r="136" spans="1:11" ht="15.75" customHeight="1" x14ac:dyDescent="0.3">
      <c r="A136" s="1" t="s">
        <v>29</v>
      </c>
      <c r="B136" s="1" t="s">
        <v>24</v>
      </c>
      <c r="C136" s="1" t="s">
        <v>30</v>
      </c>
      <c r="D136" s="1">
        <f>SQRT((F136^2 + H136^2 + G136^2 + I136^2)/4) * (1 + 1.4* (SQRT(MAX(0, K136)/100)) * (C136/490) * I136 + MAX(0, 1 - C136/490))</f>
        <v>1.3513734061688703</v>
      </c>
      <c r="E136" s="1">
        <v>30.769231000000001</v>
      </c>
      <c r="F136" s="1">
        <v>0.85340700000000003</v>
      </c>
      <c r="G136" s="1">
        <v>1</v>
      </c>
      <c r="H136" s="1">
        <v>0.34870000000000001</v>
      </c>
      <c r="I136" s="1">
        <v>0.43209999999999998</v>
      </c>
      <c r="K136" s="1">
        <v>-0.44802867383512546</v>
      </c>
    </row>
    <row r="137" spans="1:11" ht="15.75" customHeight="1" x14ac:dyDescent="0.3">
      <c r="A137" s="1" t="s">
        <v>203</v>
      </c>
      <c r="B137" s="1" t="s">
        <v>111</v>
      </c>
      <c r="C137" s="1" t="s">
        <v>204</v>
      </c>
      <c r="D137" s="1">
        <f>SQRT((F137^2 + H137^2 + G137^2 + I137^2)/4) * (1 + 1.4* SQRT(MAX(0, K137)/100) * (C137/490) * I137 + MAX(0, 1 - C137/490))</f>
        <v>1.0548866884123094</v>
      </c>
      <c r="E137" s="1">
        <v>1.2269939999999999</v>
      </c>
      <c r="F137" s="1">
        <v>0.97321999999999997</v>
      </c>
      <c r="G137" s="1">
        <v>1</v>
      </c>
      <c r="H137" s="1">
        <v>0.3322</v>
      </c>
      <c r="I137" s="1">
        <v>0.23019999999999999</v>
      </c>
      <c r="J137" s="1" t="s">
        <v>112</v>
      </c>
      <c r="K137" s="1">
        <v>30.061349693251532</v>
      </c>
    </row>
    <row r="138" spans="1:11" ht="15.75" customHeight="1" x14ac:dyDescent="0.3">
      <c r="A138" s="1" t="s">
        <v>303</v>
      </c>
      <c r="B138" s="1" t="s">
        <v>12</v>
      </c>
      <c r="C138" s="1" t="s">
        <v>304</v>
      </c>
      <c r="D138" s="1">
        <f>SQRT((F138^2 + H138^2 + G138^2 + I138^2)/4) * (1 + 1.4* SQRT(MAX(0, K138)/100) * (C138/490) * I138 + MAX(0, 1 - C138/490))</f>
        <v>0.93770565362048564</v>
      </c>
      <c r="E138" s="1">
        <v>1.1355569999999999</v>
      </c>
      <c r="F138" s="1">
        <v>0.97588600000000003</v>
      </c>
      <c r="G138" s="1">
        <v>1</v>
      </c>
      <c r="H138" s="1">
        <v>0.33129999999999998</v>
      </c>
      <c r="I138" s="1">
        <v>0.46929999999999999</v>
      </c>
      <c r="J138" s="1" t="s">
        <v>14</v>
      </c>
      <c r="K138" s="1">
        <v>1.6323633782824698</v>
      </c>
    </row>
    <row r="139" spans="1:11" ht="15.75" customHeight="1" x14ac:dyDescent="0.3">
      <c r="A139" s="1" t="s">
        <v>58</v>
      </c>
      <c r="B139" s="1" t="s">
        <v>12</v>
      </c>
      <c r="C139" s="1" t="s">
        <v>59</v>
      </c>
      <c r="D139" s="1">
        <f>SQRT((F139^2 + H139^2 + G139^2 + I139^2)/4) * (1 + 1.4* SQRT(MAX(0, K139)/100) * (C139/490) * I139 + MAX(0, 1 - C139/490))</f>
        <v>1.2876512325538092</v>
      </c>
      <c r="E139" s="1">
        <v>4.2553190000000001</v>
      </c>
      <c r="F139" s="1">
        <v>0.96548699999999998</v>
      </c>
      <c r="G139" s="1">
        <v>1</v>
      </c>
      <c r="H139" s="1">
        <v>0.33129999999999998</v>
      </c>
      <c r="I139" s="1">
        <v>0.46929999999999999</v>
      </c>
      <c r="J139" s="1" t="s">
        <v>14</v>
      </c>
      <c r="K139" s="1">
        <v>-6.3829787234042552</v>
      </c>
    </row>
    <row r="140" spans="1:11" ht="15.75" customHeight="1" x14ac:dyDescent="0.3">
      <c r="A140" s="1" t="s">
        <v>527</v>
      </c>
      <c r="B140" s="1" t="s">
        <v>21</v>
      </c>
      <c r="C140" s="1" t="s">
        <v>528</v>
      </c>
      <c r="D140" s="1">
        <f>SQRT((F140^2 + H140^2 + G140^2 + I140^2)/4) * (1 + 1.4* SQRT(MAX(0, K140)/100) * (C140/490) * I140 + MAX(0, 1 - C140/490))</f>
        <v>0.74720975753549279</v>
      </c>
      <c r="E140" s="1">
        <v>2.4518390000000001</v>
      </c>
      <c r="F140" s="1">
        <v>0.96154499999999998</v>
      </c>
      <c r="G140" s="1">
        <v>1</v>
      </c>
      <c r="H140" s="1">
        <v>0.3493</v>
      </c>
      <c r="I140" s="1">
        <v>0.43209999999999998</v>
      </c>
      <c r="K140" s="1">
        <v>-2.8021015761821366</v>
      </c>
    </row>
    <row r="141" spans="1:11" ht="15.75" customHeight="1" x14ac:dyDescent="0.3">
      <c r="A141" s="1" t="s">
        <v>628</v>
      </c>
      <c r="B141" s="1" t="s">
        <v>16</v>
      </c>
      <c r="C141" s="1" t="s">
        <v>629</v>
      </c>
      <c r="D141" s="1">
        <f>SQRT((F141^2 + H141^2 + G141^2 + I141^2)/4) * (1 + 1.4* SQRT(MAX(0, K141)/100) * (C141/490) * I141 + MAX(0, 1 - C141/490))</f>
        <v>0.6931869482804135</v>
      </c>
      <c r="E141" s="1">
        <v>0</v>
      </c>
      <c r="F141" s="1">
        <v>0.96262599999999998</v>
      </c>
      <c r="G141" s="1">
        <v>0.64455200000000001</v>
      </c>
      <c r="H141" s="1">
        <v>0.34989999999999999</v>
      </c>
      <c r="I141" s="1">
        <v>0.43209999999999998</v>
      </c>
      <c r="K141" s="1">
        <v>0.61168529846024045</v>
      </c>
    </row>
    <row r="142" spans="1:11" ht="15.75" customHeight="1" x14ac:dyDescent="0.3">
      <c r="A142" s="1" t="s">
        <v>836</v>
      </c>
      <c r="B142" s="1" t="s">
        <v>12</v>
      </c>
      <c r="C142" s="1" t="s">
        <v>837</v>
      </c>
      <c r="D142" s="1">
        <f>SQRT((F142^2 + H142^2 + G142^2 + I142^2)/4) * (1 + 1.4* SQRT(MAX(0, K142)/100) * (C142/490) * I142 + MAX(0, 1 - C142/490))</f>
        <v>0.58539496616301712</v>
      </c>
      <c r="E142" s="1">
        <v>5.1532030000000004</v>
      </c>
      <c r="F142" s="1">
        <v>0.96249399999999996</v>
      </c>
      <c r="G142" s="1">
        <v>0.33816000000000002</v>
      </c>
      <c r="H142" s="1">
        <v>0.33129999999999998</v>
      </c>
      <c r="I142" s="1">
        <v>0.46929999999999999</v>
      </c>
      <c r="J142" s="1" t="s">
        <v>14</v>
      </c>
      <c r="K142" s="1">
        <v>-0.21595356998245377</v>
      </c>
    </row>
    <row r="143" spans="1:11" ht="15.75" customHeight="1" x14ac:dyDescent="0.3">
      <c r="A143" s="1" t="s">
        <v>334</v>
      </c>
      <c r="B143" s="1" t="s">
        <v>16</v>
      </c>
      <c r="C143" s="1" t="s">
        <v>335</v>
      </c>
      <c r="D143" s="1">
        <f>SQRT((F143^2 + H143^2 + G143^2 + I143^2)/4) * (1 + 1.4* SQRT(MAX(0, K143)/100) * (C143/490) * I143 + MAX(0, 1 - C143/490))</f>
        <v>0.91644155826250928</v>
      </c>
      <c r="E143" s="1">
        <v>3.8554219999999999</v>
      </c>
      <c r="F143" s="1">
        <v>0.94977400000000001</v>
      </c>
      <c r="G143" s="1">
        <v>1</v>
      </c>
      <c r="H143" s="1">
        <v>0.34989999999999999</v>
      </c>
      <c r="I143" s="1">
        <v>0.43209999999999998</v>
      </c>
      <c r="K143" s="1">
        <v>2.4096385542168677</v>
      </c>
    </row>
    <row r="144" spans="1:11" ht="15.75" customHeight="1" x14ac:dyDescent="0.3">
      <c r="A144" s="1" t="s">
        <v>219</v>
      </c>
      <c r="B144" s="1" t="s">
        <v>12</v>
      </c>
      <c r="C144" s="1" t="s">
        <v>220</v>
      </c>
      <c r="D144" s="1">
        <f>SQRT((F144^2 + H144^2 + G144^2 + I144^2)/4) * (1 + 1.4* SQRT(MAX(0, K144)/100) * (C144/490) * I144 + MAX(0, 1 - C144/490))</f>
        <v>1.0485513750025761</v>
      </c>
      <c r="E144" s="1">
        <v>4.0404039999999997</v>
      </c>
      <c r="F144" s="1">
        <v>0.96620300000000003</v>
      </c>
      <c r="G144" s="1">
        <v>1</v>
      </c>
      <c r="H144" s="1">
        <v>0.33129999999999998</v>
      </c>
      <c r="I144" s="1">
        <v>0.46929999999999999</v>
      </c>
      <c r="J144" s="1" t="s">
        <v>14</v>
      </c>
      <c r="K144" s="1">
        <v>-2.3569023569023568</v>
      </c>
    </row>
    <row r="145" spans="1:11" ht="15.75" customHeight="1" x14ac:dyDescent="0.3">
      <c r="A145" s="1" t="s">
        <v>230</v>
      </c>
      <c r="B145" s="1" t="s">
        <v>12</v>
      </c>
      <c r="C145" s="1" t="s">
        <v>231</v>
      </c>
      <c r="D145" s="1">
        <f>SQRT((F145^2 + H145^2 + G145^2 + I145^2)/4) * (1 + 1.4* SQRT(MAX(0, K145)/100) * (C145/490) * I145 + MAX(0, 1 - C145/490))</f>
        <v>1.0254223128341478</v>
      </c>
      <c r="E145" s="1">
        <v>1.7660039999999999</v>
      </c>
      <c r="F145" s="1">
        <v>0.97378500000000001</v>
      </c>
      <c r="G145" s="1">
        <v>1</v>
      </c>
      <c r="H145" s="1">
        <v>0.33129999999999998</v>
      </c>
      <c r="I145" s="1">
        <v>0.46929999999999999</v>
      </c>
      <c r="J145" s="1" t="s">
        <v>14</v>
      </c>
      <c r="K145" s="1">
        <v>8.7196467991169975</v>
      </c>
    </row>
    <row r="146" spans="1:11" ht="15.75" customHeight="1" x14ac:dyDescent="0.3">
      <c r="A146" s="1" t="s">
        <v>550</v>
      </c>
      <c r="B146" s="1" t="s">
        <v>16</v>
      </c>
      <c r="C146" s="1" t="s">
        <v>551</v>
      </c>
      <c r="D146" s="1">
        <f>SQRT((F146^2 + H146^2 + G146^2 + I146^2)/4) * (1 + 1.4* SQRT(MAX(0, K146)/100) * (C146/490) * I146 + MAX(0, 1 - C146/490))</f>
        <v>0.74557104929309048</v>
      </c>
      <c r="E146" s="1">
        <v>1.920439</v>
      </c>
      <c r="F146" s="1">
        <v>0.95622399999999996</v>
      </c>
      <c r="G146" s="1">
        <v>1</v>
      </c>
      <c r="H146" s="1">
        <v>0.34989999999999999</v>
      </c>
      <c r="I146" s="1">
        <v>0.43209999999999998</v>
      </c>
      <c r="K146" s="1">
        <v>-1.0973936899862826</v>
      </c>
    </row>
    <row r="147" spans="1:11" ht="15.75" customHeight="1" x14ac:dyDescent="0.3">
      <c r="A147" s="1" t="s">
        <v>286</v>
      </c>
      <c r="B147" s="1" t="s">
        <v>12</v>
      </c>
      <c r="C147" s="1" t="s">
        <v>287</v>
      </c>
      <c r="D147" s="1">
        <f>SQRT((F147^2 + H147^2 + G147^2 + I147^2)/4) * (1 + 1.4* SQRT(MAX(0, K147)/100) * (C147/490) * I147 + MAX(0, 1 - C147/490))</f>
        <v>0.95309131977217887</v>
      </c>
      <c r="E147" s="1">
        <v>0.73891600000000002</v>
      </c>
      <c r="F147" s="1">
        <v>0.97720799999999997</v>
      </c>
      <c r="G147" s="1">
        <v>1</v>
      </c>
      <c r="H147" s="1">
        <v>0.33129999999999998</v>
      </c>
      <c r="I147" s="1">
        <v>0.46929999999999999</v>
      </c>
      <c r="J147" s="1" t="s">
        <v>14</v>
      </c>
      <c r="K147" s="1">
        <v>2.7093596059113301</v>
      </c>
    </row>
    <row r="148" spans="1:11" ht="15.75" customHeight="1" x14ac:dyDescent="0.3">
      <c r="A148" s="1" t="s">
        <v>135</v>
      </c>
      <c r="B148" s="1" t="s">
        <v>111</v>
      </c>
      <c r="C148" s="1" t="s">
        <v>107</v>
      </c>
      <c r="D148" s="1">
        <f>SQRT((F148^2 + H148^2 + G148^2 + I148^2)/4) * (1 + 1.4* SQRT(MAX(0, K148)/100) * (C148/490) * I148 + MAX(0, 1 - C148/490))</f>
        <v>1.1515928174630727</v>
      </c>
      <c r="E148" s="1">
        <v>10.050250999999999</v>
      </c>
      <c r="F148" s="1">
        <v>0.94380900000000001</v>
      </c>
      <c r="G148" s="1">
        <v>1</v>
      </c>
      <c r="H148" s="1">
        <v>0.3322</v>
      </c>
      <c r="I148" s="1">
        <v>0.23019999999999999</v>
      </c>
      <c r="J148" s="1" t="s">
        <v>112</v>
      </c>
      <c r="K148" s="1">
        <v>1.0050251256281406</v>
      </c>
    </row>
    <row r="149" spans="1:11" ht="15.75" customHeight="1" x14ac:dyDescent="0.3">
      <c r="A149" s="1" t="s">
        <v>500</v>
      </c>
      <c r="B149" s="1" t="s">
        <v>12</v>
      </c>
      <c r="C149" s="1" t="s">
        <v>501</v>
      </c>
      <c r="D149" s="1">
        <f>SQRT((F149^2 + H149^2 + G149^2 + I149^2)/4) * (1 + 1.4* SQRT(MAX(0, K149)/100) * (C149/490) * I149 + MAX(0, 1 - C149/490))</f>
        <v>0.75277995433077916</v>
      </c>
      <c r="E149" s="1">
        <v>3.5502959999999999</v>
      </c>
      <c r="F149" s="1">
        <v>0.96783699999999995</v>
      </c>
      <c r="G149" s="1">
        <v>1</v>
      </c>
      <c r="H149" s="1">
        <v>0.33129999999999998</v>
      </c>
      <c r="I149" s="1">
        <v>0.46929999999999999</v>
      </c>
      <c r="J149" s="1" t="s">
        <v>14</v>
      </c>
      <c r="K149" s="1">
        <v>-2.3668639053254439</v>
      </c>
    </row>
    <row r="150" spans="1:11" ht="15.75" customHeight="1" x14ac:dyDescent="0.3">
      <c r="A150" s="1" t="s">
        <v>831</v>
      </c>
      <c r="B150" s="1" t="s">
        <v>12</v>
      </c>
      <c r="C150" s="1" t="s">
        <v>832</v>
      </c>
      <c r="D150" s="1">
        <f>SQRT((F150^2 + H150^2 + G150^2 + I150^2)/4) * (1 + 1.4* SQRT(MAX(0, K150)/100) * (C150/490) * I150 + MAX(0, 1 - C150/490))</f>
        <v>0.58881672338619084</v>
      </c>
      <c r="E150" s="1">
        <v>3.9675379999999998</v>
      </c>
      <c r="F150" s="1">
        <v>0.96644600000000003</v>
      </c>
      <c r="G150" s="1">
        <v>0.35042899999999999</v>
      </c>
      <c r="H150" s="1">
        <v>0.33129999999999998</v>
      </c>
      <c r="I150" s="1">
        <v>0.46929999999999999</v>
      </c>
      <c r="J150" s="1" t="s">
        <v>14</v>
      </c>
      <c r="K150" s="1">
        <v>-0.21595356998245377</v>
      </c>
    </row>
    <row r="151" spans="1:11" ht="15.75" customHeight="1" x14ac:dyDescent="0.3">
      <c r="A151" s="1" t="s">
        <v>340</v>
      </c>
      <c r="B151" s="1" t="s">
        <v>12</v>
      </c>
      <c r="C151" s="1" t="s">
        <v>341</v>
      </c>
      <c r="D151" s="1">
        <f>SQRT((F151^2 + H151^2 + G151^2 + I151^2)/4) * (1 + 1.4* SQRT(MAX(0, K151)/100) * (C151/490) * I151 + MAX(0, 1 - C151/490))</f>
        <v>0.91170959799897922</v>
      </c>
      <c r="E151" s="1">
        <v>1.4611339999999999</v>
      </c>
      <c r="F151" s="1">
        <v>0.97480100000000003</v>
      </c>
      <c r="G151" s="1">
        <v>1</v>
      </c>
      <c r="H151" s="1">
        <v>0.33129999999999998</v>
      </c>
      <c r="I151" s="1">
        <v>0.46929999999999999</v>
      </c>
      <c r="J151" s="1" t="s">
        <v>14</v>
      </c>
      <c r="K151" s="1">
        <v>0.81823495032144944</v>
      </c>
    </row>
    <row r="152" spans="1:11" ht="15.75" customHeight="1" x14ac:dyDescent="0.3">
      <c r="A152" s="1" t="s">
        <v>457</v>
      </c>
      <c r="B152" s="1" t="s">
        <v>16</v>
      </c>
      <c r="C152" s="1" t="s">
        <v>458</v>
      </c>
      <c r="D152" s="1">
        <f>SQRT((F152^2 + H152^2 + G152^2 + I152^2)/4) * (1 + 1.4* SQRT(MAX(0, K152)/100) * (C152/490) * I152 + MAX(0, 1 - C152/490))</f>
        <v>0.78594727924388441</v>
      </c>
      <c r="E152" s="1">
        <v>3.8961039999999998</v>
      </c>
      <c r="F152" s="1">
        <v>0.94963799999999998</v>
      </c>
      <c r="G152" s="1">
        <v>1</v>
      </c>
      <c r="H152" s="1">
        <v>0.34989999999999999</v>
      </c>
      <c r="I152" s="1">
        <v>0.43209999999999998</v>
      </c>
      <c r="K152" s="1">
        <v>-1.5151515151515151</v>
      </c>
    </row>
    <row r="153" spans="1:11" ht="15.75" customHeight="1" x14ac:dyDescent="0.3">
      <c r="A153" s="1" t="s">
        <v>470</v>
      </c>
      <c r="B153" s="1" t="s">
        <v>21</v>
      </c>
      <c r="C153" s="1" t="s">
        <v>471</v>
      </c>
      <c r="D153" s="1">
        <f>SQRT((F153^2 + H153^2 + G153^2 + I153^2)/4) * (1 + 1.4* SQRT(MAX(0, K153)/100) * (C153/490) * I153 + MAX(0, 1 - C153/490))</f>
        <v>0.774296490636736</v>
      </c>
      <c r="E153" s="1">
        <v>1.3941699999999999</v>
      </c>
      <c r="F153" s="1">
        <v>0.96507100000000001</v>
      </c>
      <c r="G153" s="1">
        <v>1</v>
      </c>
      <c r="H153" s="1">
        <v>0.3493</v>
      </c>
      <c r="I153" s="1">
        <v>0.43209999999999998</v>
      </c>
      <c r="K153" s="1">
        <v>0.1267427122940431</v>
      </c>
    </row>
    <row r="154" spans="1:11" ht="15.75" customHeight="1" x14ac:dyDescent="0.3">
      <c r="A154" s="1" t="s">
        <v>301</v>
      </c>
      <c r="B154" s="1" t="s">
        <v>16</v>
      </c>
      <c r="C154" s="1" t="s">
        <v>302</v>
      </c>
      <c r="D154" s="1">
        <f>SQRT((F154^2 + H154^2 + G154^2 + I154^2)/4) * (1 + 1.4* SQRT(MAX(0, K154)/100) * (C154/490) * I154 + MAX(0, 1 - C154/490))</f>
        <v>0.93922431032171927</v>
      </c>
      <c r="E154" s="1">
        <v>5</v>
      </c>
      <c r="F154" s="1">
        <v>0.94595899999999999</v>
      </c>
      <c r="G154" s="1">
        <v>1</v>
      </c>
      <c r="H154" s="1">
        <v>0.34989999999999999</v>
      </c>
      <c r="I154" s="1">
        <v>0.43209999999999998</v>
      </c>
      <c r="K154" s="1">
        <v>-7.2222222222222223</v>
      </c>
    </row>
    <row r="155" spans="1:11" ht="15.75" customHeight="1" x14ac:dyDescent="0.3">
      <c r="A155" s="1" t="s">
        <v>155</v>
      </c>
      <c r="B155" s="1" t="s">
        <v>36</v>
      </c>
      <c r="C155" s="1" t="s">
        <v>156</v>
      </c>
      <c r="D155" s="1">
        <f>SQRT((F155^2 + H155^2 + G155^2 + I155^2)/4) * (1 + 1.4* SQRT(MAX(0, K155)/100) * (C155/490) * I155 + MAX(0, 1 - C155/490))</f>
        <v>1.1118900335143127</v>
      </c>
      <c r="E155" s="1">
        <v>0.84388200000000002</v>
      </c>
      <c r="F155" s="1">
        <v>0.91262900000000002</v>
      </c>
      <c r="G155" s="1">
        <v>1</v>
      </c>
      <c r="H155" s="1">
        <v>0.36220000000000002</v>
      </c>
      <c r="I155" s="1">
        <v>0.43209999999999998</v>
      </c>
      <c r="K155" s="1">
        <v>-4.6413502109704643</v>
      </c>
    </row>
    <row r="156" spans="1:11" ht="15.75" customHeight="1" x14ac:dyDescent="0.3">
      <c r="A156" s="1" t="s">
        <v>171</v>
      </c>
      <c r="B156" s="1" t="s">
        <v>12</v>
      </c>
      <c r="C156" s="1" t="s">
        <v>172</v>
      </c>
      <c r="D156" s="1">
        <f>SQRT((F156^2 + H156^2 + G156^2 + I156^2)/4) * (1 + 1.4* SQRT(MAX(0, K156)/100) * (C156/490) * I156 + MAX(0, 1 - C156/490))</f>
        <v>1.0923930826293753</v>
      </c>
      <c r="E156" s="1">
        <v>4.4776119999999997</v>
      </c>
      <c r="F156" s="1">
        <v>0.96474599999999999</v>
      </c>
      <c r="G156" s="1">
        <v>1</v>
      </c>
      <c r="H156" s="1">
        <v>0.33129999999999998</v>
      </c>
      <c r="I156" s="1">
        <v>0.46929999999999999</v>
      </c>
      <c r="J156" s="1" t="s">
        <v>14</v>
      </c>
      <c r="K156" s="1">
        <v>-1.4925373134328359</v>
      </c>
    </row>
    <row r="157" spans="1:11" ht="15.75" customHeight="1" x14ac:dyDescent="0.3">
      <c r="A157" s="1" t="s">
        <v>318</v>
      </c>
      <c r="B157" s="1" t="s">
        <v>12</v>
      </c>
      <c r="C157" s="1" t="s">
        <v>319</v>
      </c>
      <c r="D157" s="1">
        <f>SQRT((F157^2 + H157^2 + G157^2 + I157^2)/4) * (1 + 1.4* SQRT(MAX(0, K157)/100) * (C157/490) * I157 + MAX(0, 1 - C157/490))</f>
        <v>0.9313924530998855</v>
      </c>
      <c r="E157" s="1">
        <v>4.424779</v>
      </c>
      <c r="F157" s="1">
        <v>0.96492199999999995</v>
      </c>
      <c r="G157" s="1">
        <v>1</v>
      </c>
      <c r="H157" s="1">
        <v>0.33129999999999998</v>
      </c>
      <c r="I157" s="1">
        <v>0.46929999999999999</v>
      </c>
      <c r="J157" s="1" t="s">
        <v>14</v>
      </c>
      <c r="K157" s="1">
        <v>7.0796460176991154</v>
      </c>
    </row>
    <row r="158" spans="1:11" ht="15.75" customHeight="1" x14ac:dyDescent="0.3">
      <c r="A158" s="1" t="s">
        <v>133</v>
      </c>
      <c r="B158" s="1" t="s">
        <v>12</v>
      </c>
      <c r="C158" s="1" t="s">
        <v>134</v>
      </c>
      <c r="D158" s="1">
        <f>SQRT((F158^2 + H158^2 + G158^2 + I158^2)/4) * (1 + 1.4* SQRT(MAX(0, K158)/100) * (C158/490) * I158 + MAX(0, 1 - C158/490))</f>
        <v>1.1529424018323862</v>
      </c>
      <c r="E158" s="1">
        <v>2.1739130000000002</v>
      </c>
      <c r="F158" s="1">
        <v>0.97242499999999998</v>
      </c>
      <c r="G158" s="1">
        <v>1</v>
      </c>
      <c r="H158" s="1">
        <v>0.33129999999999998</v>
      </c>
      <c r="I158" s="1">
        <v>0.46929999999999999</v>
      </c>
      <c r="J158" s="1" t="s">
        <v>14</v>
      </c>
      <c r="K158" s="1">
        <v>6.1594202898550723</v>
      </c>
    </row>
    <row r="159" spans="1:11" ht="15.75" customHeight="1" x14ac:dyDescent="0.3">
      <c r="A159" s="1" t="s">
        <v>461</v>
      </c>
      <c r="B159" s="1" t="s">
        <v>24</v>
      </c>
      <c r="C159" s="1" t="s">
        <v>460</v>
      </c>
      <c r="D159" s="1">
        <f>SQRT((F159^2 + H159^2 + G159^2 + I159^2)/4) * (1 + 1.4* SQRT(MAX(0, K159)/100) * (C159/490) * I159 + MAX(0, 1 - C159/490))</f>
        <v>0.78374707797823295</v>
      </c>
      <c r="E159" s="1">
        <v>2.37581</v>
      </c>
      <c r="F159" s="1">
        <v>0.94805200000000001</v>
      </c>
      <c r="G159" s="1">
        <v>1</v>
      </c>
      <c r="H159" s="1">
        <v>0.34870000000000001</v>
      </c>
      <c r="I159" s="1">
        <v>0.43209999999999998</v>
      </c>
      <c r="K159" s="1">
        <v>-1.079913606911447</v>
      </c>
    </row>
    <row r="160" spans="1:11" ht="15.75" customHeight="1" x14ac:dyDescent="0.3">
      <c r="A160" s="1" t="s">
        <v>222</v>
      </c>
      <c r="B160" s="1" t="s">
        <v>12</v>
      </c>
      <c r="C160" s="1" t="s">
        <v>223</v>
      </c>
      <c r="D160" s="1">
        <f>SQRT((F160^2 + H160^2 + G160^2 + I160^2)/4) * (1 + 1.4* SQRT(MAX(0, K160)/100) * (C160/490) * I160 + MAX(0, 1 - C160/490))</f>
        <v>1.0443561297646702</v>
      </c>
      <c r="E160" s="1">
        <v>0.66006600000000004</v>
      </c>
      <c r="F160" s="1">
        <v>0.97747099999999998</v>
      </c>
      <c r="G160" s="1">
        <v>1</v>
      </c>
      <c r="H160" s="1">
        <v>0.33129999999999998</v>
      </c>
      <c r="I160" s="1">
        <v>0.46929999999999999</v>
      </c>
      <c r="J160" s="1" t="s">
        <v>14</v>
      </c>
      <c r="K160" s="1">
        <v>-1.9801980198019802</v>
      </c>
    </row>
    <row r="161" spans="1:11" ht="15.75" customHeight="1" x14ac:dyDescent="0.3">
      <c r="A161" s="1" t="s">
        <v>284</v>
      </c>
      <c r="B161" s="1" t="s">
        <v>21</v>
      </c>
      <c r="C161" s="1" t="s">
        <v>285</v>
      </c>
      <c r="D161" s="1">
        <f>SQRT((F161^2 + H161^2 + G161^2 + I161^2)/4) * (1 + 1.4* SQRT(MAX(0, K161)/100) * (C161/490) * I161 + MAX(0, 1 - C161/490))</f>
        <v>0.95627966929652009</v>
      </c>
      <c r="E161" s="1">
        <v>4.5584049999999996</v>
      </c>
      <c r="F161" s="1">
        <v>0.95452300000000001</v>
      </c>
      <c r="G161" s="1">
        <v>1</v>
      </c>
      <c r="H161" s="1">
        <v>0.3493</v>
      </c>
      <c r="I161" s="1">
        <v>0.43209999999999998</v>
      </c>
      <c r="K161" s="1">
        <v>-2.8490028490028489</v>
      </c>
    </row>
    <row r="162" spans="1:11" ht="15.75" customHeight="1" x14ac:dyDescent="0.3">
      <c r="A162" s="1" t="s">
        <v>494</v>
      </c>
      <c r="B162" s="1" t="s">
        <v>12</v>
      </c>
      <c r="C162" s="1" t="s">
        <v>495</v>
      </c>
      <c r="D162" s="1">
        <f>SQRT((F162^2 + H162^2 + G162^2 + I162^2)/4) * (1 + 1.4* SQRT(MAX(0, K162)/100) * (C162/490) * I162 + MAX(0, 1 - C162/490))</f>
        <v>0.75359634762666539</v>
      </c>
      <c r="E162" s="1">
        <v>2.7888449999999998</v>
      </c>
      <c r="F162" s="1">
        <v>0.97037499999999999</v>
      </c>
      <c r="G162" s="1">
        <v>1</v>
      </c>
      <c r="H162" s="1">
        <v>0.33129999999999998</v>
      </c>
      <c r="I162" s="1">
        <v>0.46929999999999999</v>
      </c>
      <c r="J162" s="1" t="s">
        <v>14</v>
      </c>
      <c r="K162" s="1">
        <v>-2.3904382470119523</v>
      </c>
    </row>
    <row r="163" spans="1:11" ht="15.75" customHeight="1" x14ac:dyDescent="0.3">
      <c r="A163" s="1" t="s">
        <v>69</v>
      </c>
      <c r="B163" s="1" t="s">
        <v>24</v>
      </c>
      <c r="C163" s="1" t="s">
        <v>70</v>
      </c>
      <c r="D163" s="1">
        <f>SQRT((F163^2 + H163^2 + G163^2 + I163^2)/4) * (1 + 1.4* SQRT(MAX(0, K163)/100) * (C163/490) * I163 + MAX(0, 1 - C163/490))</f>
        <v>1.2590837488881803</v>
      </c>
      <c r="E163" s="1">
        <v>6.0240960000000001</v>
      </c>
      <c r="F163" s="1">
        <v>0.93589100000000003</v>
      </c>
      <c r="G163" s="1">
        <v>1</v>
      </c>
      <c r="H163" s="1">
        <v>0.34870000000000001</v>
      </c>
      <c r="I163" s="1">
        <v>0.43209999999999998</v>
      </c>
      <c r="K163" s="1">
        <v>4.3321299638989172</v>
      </c>
    </row>
    <row r="164" spans="1:11" ht="15.75" customHeight="1" x14ac:dyDescent="0.3">
      <c r="A164" s="1" t="s">
        <v>227</v>
      </c>
      <c r="B164" s="1" t="s">
        <v>111</v>
      </c>
      <c r="C164" s="1" t="s">
        <v>228</v>
      </c>
      <c r="D164" s="1">
        <f>SQRT((F164^2 + H164^2 + G164^2 + I164^2)/4) * (1 + 1.4* SQRT(MAX(0, K164)/100) * (C164/490) * I164 + MAX(0, 1 - C164/490))</f>
        <v>1.0334596667294298</v>
      </c>
      <c r="E164" s="1">
        <v>4</v>
      </c>
      <c r="F164" s="1">
        <v>0.96397699999999997</v>
      </c>
      <c r="G164" s="1">
        <v>1</v>
      </c>
      <c r="H164" s="1">
        <v>0.3322</v>
      </c>
      <c r="I164" s="1">
        <v>0.23019999999999999</v>
      </c>
      <c r="J164" s="1" t="s">
        <v>112</v>
      </c>
      <c r="K164" s="1">
        <v>4.333333333333333</v>
      </c>
    </row>
    <row r="165" spans="1:11" ht="15.75" customHeight="1" x14ac:dyDescent="0.3">
      <c r="A165" s="1" t="s">
        <v>383</v>
      </c>
      <c r="B165" s="1" t="s">
        <v>21</v>
      </c>
      <c r="C165" s="1" t="s">
        <v>384</v>
      </c>
      <c r="D165" s="1">
        <f>SQRT((F165^2 + H165^2 + G165^2 + I165^2)/4) * (1 + 1.4* SQRT(MAX(0, K165)/100) * (C165/490) * I165 + MAX(0, 1 - C165/490))</f>
        <v>0.86829726219730541</v>
      </c>
      <c r="E165" s="1">
        <v>4.4009780000000003</v>
      </c>
      <c r="F165" s="1">
        <v>0.95504800000000001</v>
      </c>
      <c r="G165" s="1">
        <v>1</v>
      </c>
      <c r="H165" s="1">
        <v>0.3493</v>
      </c>
      <c r="I165" s="1">
        <v>0.43209999999999998</v>
      </c>
      <c r="K165" s="1">
        <v>-1.7114914425427872</v>
      </c>
    </row>
    <row r="166" spans="1:11" ht="15.75" customHeight="1" x14ac:dyDescent="0.3">
      <c r="A166" s="1" t="s">
        <v>662</v>
      </c>
      <c r="B166" s="1" t="s">
        <v>49</v>
      </c>
      <c r="C166" s="1" t="s">
        <v>663</v>
      </c>
      <c r="D166" s="1">
        <f>SQRT((F166^2 + H166^2 + G166^2 + I166^2)/4) * (1 + 1.4* SQRT(MAX(0, K166)/100) * (C166/490) * I166 + MAX(0, 1 - C166/490))</f>
        <v>0.65940737370611802</v>
      </c>
      <c r="E166" s="1">
        <v>0</v>
      </c>
      <c r="F166" s="1">
        <v>0.97372599999999998</v>
      </c>
      <c r="G166" s="1">
        <v>0.69344600000000001</v>
      </c>
      <c r="H166" s="1">
        <v>0.35149999999999998</v>
      </c>
      <c r="I166" s="1">
        <v>0.43209999999999998</v>
      </c>
      <c r="K166" s="1">
        <v>0</v>
      </c>
    </row>
    <row r="167" spans="1:11" ht="15.75" customHeight="1" x14ac:dyDescent="0.3">
      <c r="A167" s="1" t="s">
        <v>23</v>
      </c>
      <c r="B167" s="1" t="s">
        <v>24</v>
      </c>
      <c r="C167" s="1" t="s">
        <v>25</v>
      </c>
      <c r="D167" s="1">
        <f>SQRT((F167^2 + H167^2 + G167^2 + I167^2)/4) * (1 + 1.4* (SQRT(MAX(0, K167)/100)) * (C167/490) * I167 + MAX(0, 1 - C167/490))</f>
        <v>1.3607464756795251</v>
      </c>
      <c r="E167" s="1">
        <v>30.434782999999999</v>
      </c>
      <c r="F167" s="1">
        <v>0.854522</v>
      </c>
      <c r="G167" s="1">
        <v>1</v>
      </c>
      <c r="H167" s="1">
        <v>0.34870000000000001</v>
      </c>
      <c r="I167" s="1">
        <v>0.43209999999999998</v>
      </c>
      <c r="K167" s="1">
        <v>-0.21208907741251326</v>
      </c>
    </row>
    <row r="168" spans="1:11" ht="15.75" customHeight="1" x14ac:dyDescent="0.3">
      <c r="A168" s="1" t="s">
        <v>418</v>
      </c>
      <c r="B168" s="1" t="s">
        <v>16</v>
      </c>
      <c r="C168" s="1" t="s">
        <v>419</v>
      </c>
      <c r="D168" s="1">
        <f>SQRT((F168^2 + H168^2 + G168^2 + I168^2)/4) * (1 + 1.4* SQRT(MAX(0, K168)/100) * (C168/490) * I168 + MAX(0, 1 - C168/490))</f>
        <v>0.83368046758036884</v>
      </c>
      <c r="E168" s="1">
        <v>1.920768</v>
      </c>
      <c r="F168" s="1">
        <v>0.95622300000000005</v>
      </c>
      <c r="G168" s="1">
        <v>1</v>
      </c>
      <c r="H168" s="1">
        <v>0.34989999999999999</v>
      </c>
      <c r="I168" s="1">
        <v>0.43209999999999998</v>
      </c>
      <c r="K168" s="1">
        <v>1.3205282112845138</v>
      </c>
    </row>
    <row r="169" spans="1:11" ht="15.75" customHeight="1" x14ac:dyDescent="0.3">
      <c r="A169" s="1" t="s">
        <v>238</v>
      </c>
      <c r="B169" s="1" t="s">
        <v>16</v>
      </c>
      <c r="C169" s="1" t="s">
        <v>239</v>
      </c>
      <c r="D169" s="1">
        <f>SQRT((F169^2 + H169^2 + G169^2 + I169^2)/4) * (1 + 1.4* SQRT(MAX(0, K169)/100) * (C169/490) * I169 + MAX(0, 1 - C169/490))</f>
        <v>1.0212245677859344</v>
      </c>
      <c r="E169" s="1">
        <v>5.9016390000000003</v>
      </c>
      <c r="F169" s="1">
        <v>0.94295300000000004</v>
      </c>
      <c r="G169" s="1">
        <v>1</v>
      </c>
      <c r="H169" s="1">
        <v>0.34989999999999999</v>
      </c>
      <c r="I169" s="1">
        <v>0.43209999999999998</v>
      </c>
      <c r="K169" s="1">
        <v>-4.2622950819672134</v>
      </c>
    </row>
    <row r="170" spans="1:11" ht="15.75" customHeight="1" x14ac:dyDescent="0.3">
      <c r="A170" s="1" t="s">
        <v>314</v>
      </c>
      <c r="B170" s="1" t="s">
        <v>12</v>
      </c>
      <c r="C170" s="1" t="s">
        <v>315</v>
      </c>
      <c r="D170" s="1">
        <f>SQRT((F170^2 + H170^2 + G170^2 + I170^2)/4) * (1 + 1.4* SQRT(MAX(0, K170)/100) * (C170/490) * I170 + MAX(0, 1 - C170/490))</f>
        <v>0.9319007969552151</v>
      </c>
      <c r="E170" s="1">
        <v>19.259259</v>
      </c>
      <c r="F170" s="1">
        <v>0.91547400000000001</v>
      </c>
      <c r="G170" s="1">
        <v>0</v>
      </c>
      <c r="H170" s="1">
        <v>0.33129999999999998</v>
      </c>
      <c r="I170" s="1">
        <v>0.46929999999999999</v>
      </c>
      <c r="J170" s="1" t="s">
        <v>14</v>
      </c>
      <c r="K170" s="1">
        <v>-3.8333333333333335</v>
      </c>
    </row>
    <row r="171" spans="1:11" ht="15.75" customHeight="1" x14ac:dyDescent="0.3">
      <c r="A171" s="1" t="s">
        <v>31</v>
      </c>
      <c r="B171" s="1" t="s">
        <v>12</v>
      </c>
      <c r="C171" s="1" t="s">
        <v>32</v>
      </c>
      <c r="D171" s="1">
        <f>SQRT((F171^2 + H171^2 + G171^2 + I171^2)/4) * (1 + 1.4* SQRT(MAX(0, K171)/100) * (C171/490) * I171 + MAX(0, 1 - C171/490))</f>
        <v>1.3504733108805929</v>
      </c>
      <c r="E171" s="1">
        <v>2.1400779999999999</v>
      </c>
      <c r="F171" s="1">
        <v>0.97253800000000001</v>
      </c>
      <c r="G171" s="1">
        <v>1</v>
      </c>
      <c r="H171" s="1">
        <v>0.33129999999999998</v>
      </c>
      <c r="I171" s="1">
        <v>0.46929999999999999</v>
      </c>
      <c r="J171" s="1" t="s">
        <v>14</v>
      </c>
      <c r="K171" s="1">
        <v>32.879377431906612</v>
      </c>
    </row>
    <row r="172" spans="1:11" ht="15.75" customHeight="1" x14ac:dyDescent="0.3">
      <c r="A172" s="1" t="s">
        <v>437</v>
      </c>
      <c r="B172" s="1" t="s">
        <v>12</v>
      </c>
      <c r="C172" s="1" t="s">
        <v>438</v>
      </c>
      <c r="D172" s="1">
        <f>SQRT((F172^2 + H172^2 + G172^2 + I172^2)/4) * (1 + 1.4* SQRT(MAX(0, K172)/100) * (C172/490) * I172 + MAX(0, 1 - C172/490))</f>
        <v>0.80691230512195034</v>
      </c>
      <c r="E172" s="1">
        <v>0.32051299999999999</v>
      </c>
      <c r="F172" s="1">
        <v>0.978603</v>
      </c>
      <c r="G172" s="1">
        <v>1</v>
      </c>
      <c r="H172" s="1">
        <v>0.33129999999999998</v>
      </c>
      <c r="I172" s="1">
        <v>0.46929999999999999</v>
      </c>
      <c r="J172" s="1" t="s">
        <v>14</v>
      </c>
      <c r="K172" s="1">
        <v>0.64102564102564108</v>
      </c>
    </row>
    <row r="173" spans="1:11" ht="15.75" customHeight="1" x14ac:dyDescent="0.3">
      <c r="A173" s="1" t="s">
        <v>858</v>
      </c>
      <c r="B173" s="1" t="s">
        <v>49</v>
      </c>
      <c r="C173" s="1" t="s">
        <v>859</v>
      </c>
      <c r="D173" s="1">
        <f>SQRT((F173^2 + H173^2 + G173^2 + I173^2)/4) * (1 + 1.4* SQRT(MAX(0, K173)/100) * (C173/490) * I173 + MAX(0, 1 - C173/490))</f>
        <v>0.57364255552063959</v>
      </c>
      <c r="E173" s="1">
        <v>0.52840200000000004</v>
      </c>
      <c r="F173" s="1">
        <v>0.97196400000000005</v>
      </c>
      <c r="G173" s="1">
        <v>0.247561</v>
      </c>
      <c r="H173" s="1">
        <v>0.35149999999999998</v>
      </c>
      <c r="I173" s="1">
        <v>0.43209999999999998</v>
      </c>
      <c r="K173" s="1">
        <v>0</v>
      </c>
    </row>
    <row r="174" spans="1:11" ht="15.75" customHeight="1" x14ac:dyDescent="0.3">
      <c r="A174" s="1" t="s">
        <v>96</v>
      </c>
      <c r="B174" s="1" t="s">
        <v>45</v>
      </c>
      <c r="C174" s="1" t="s">
        <v>41</v>
      </c>
      <c r="D174" s="1">
        <f>SQRT((F174^2 + H174^2 + G174^2 + I174^2)/4) * (1 + 1.4* SQRT(MAX(0, K174)/100) * (C174/490) * I174 + MAX(0, 1 - C174/490))</f>
        <v>1.2131972126959567</v>
      </c>
      <c r="E174" s="1">
        <v>0</v>
      </c>
      <c r="F174" s="1">
        <v>0.94190700000000005</v>
      </c>
      <c r="G174" s="1">
        <v>0.69344600000000001</v>
      </c>
      <c r="H174" s="1">
        <v>0.35520000000000002</v>
      </c>
      <c r="I174" s="1">
        <v>0.59689999999999999</v>
      </c>
      <c r="J174" s="1" t="s">
        <v>47</v>
      </c>
      <c r="K174" s="1">
        <v>0</v>
      </c>
    </row>
    <row r="175" spans="1:11" ht="15.75" customHeight="1" x14ac:dyDescent="0.3">
      <c r="A175" s="1" t="s">
        <v>165</v>
      </c>
      <c r="B175" s="1" t="s">
        <v>45</v>
      </c>
      <c r="C175" s="1" t="s">
        <v>166</v>
      </c>
      <c r="D175" s="1">
        <f>SQRT((F175^2 + H175^2 + G175^2 + I175^2)/4) * (1 + 1.4* SQRT(MAX(0, K175)/100) * (C175/490) * I175 + MAX(0, 1 - C175/490))</f>
        <v>1.1007613154094893</v>
      </c>
      <c r="E175" s="1">
        <v>0</v>
      </c>
      <c r="F175" s="1">
        <v>0.94190700000000005</v>
      </c>
      <c r="G175" s="1">
        <v>0.69344600000000001</v>
      </c>
      <c r="H175" s="1">
        <v>0.35520000000000002</v>
      </c>
      <c r="I175" s="1">
        <v>0.59689999999999999</v>
      </c>
      <c r="J175" s="1" t="s">
        <v>47</v>
      </c>
      <c r="K175" s="1">
        <v>0</v>
      </c>
    </row>
    <row r="176" spans="1:11" ht="15.75" customHeight="1" x14ac:dyDescent="0.3">
      <c r="A176" s="1" t="s">
        <v>187</v>
      </c>
      <c r="B176" s="1" t="s">
        <v>12</v>
      </c>
      <c r="C176" s="1" t="s">
        <v>188</v>
      </c>
      <c r="D176" s="1">
        <f>SQRT((F176^2 + H176^2 + G176^2 + I176^2)/4) * (1 + 1.4* SQRT(MAX(0, K176)/100) * (C176/490) * I176 + MAX(0, 1 - C176/490))</f>
        <v>1.0762209517748977</v>
      </c>
      <c r="E176" s="1">
        <v>0</v>
      </c>
      <c r="F176" s="1">
        <v>0.97967099999999996</v>
      </c>
      <c r="G176" s="1">
        <v>1</v>
      </c>
      <c r="H176" s="1">
        <v>0.33129999999999998</v>
      </c>
      <c r="I176" s="1">
        <v>0.46929999999999999</v>
      </c>
      <c r="J176" s="1" t="s">
        <v>14</v>
      </c>
      <c r="K176" s="1">
        <v>-3.8333333333333335</v>
      </c>
    </row>
    <row r="177" spans="1:11" ht="15.75" customHeight="1" x14ac:dyDescent="0.3">
      <c r="A177" s="1" t="s">
        <v>516</v>
      </c>
      <c r="B177" s="1" t="s">
        <v>21</v>
      </c>
      <c r="C177" s="1" t="s">
        <v>517</v>
      </c>
      <c r="D177" s="1">
        <f>SQRT((F177^2 + H177^2 + G177^2 + I177^2)/4) * (1 + 1.4* SQRT(MAX(0, K177)/100) * (C177/490) * I177 + MAX(0, 1 - C177/490))</f>
        <v>0.74829729487751051</v>
      </c>
      <c r="E177" s="1">
        <v>1.438849</v>
      </c>
      <c r="F177" s="1">
        <v>0.96492199999999995</v>
      </c>
      <c r="G177" s="1">
        <v>1</v>
      </c>
      <c r="H177" s="1">
        <v>0.3493</v>
      </c>
      <c r="I177" s="1">
        <v>0.43209999999999998</v>
      </c>
      <c r="K177" s="1">
        <v>-1.9527235354573484</v>
      </c>
    </row>
    <row r="178" spans="1:11" ht="15.75" customHeight="1" x14ac:dyDescent="0.3">
      <c r="A178" s="1" t="s">
        <v>328</v>
      </c>
      <c r="B178" s="1" t="s">
        <v>49</v>
      </c>
      <c r="C178" s="1" t="s">
        <v>329</v>
      </c>
      <c r="D178" s="1">
        <f>SQRT((F178^2 + H178^2 + G178^2 + I178^2)/4) * (1 + 1.4* SQRT(MAX(0, K178)/100) * (C178/490) * I178 + MAX(0, 1 - C178/490))</f>
        <v>0.92323969815404283</v>
      </c>
      <c r="E178" s="1">
        <v>3.1971579999999999</v>
      </c>
      <c r="F178" s="1">
        <v>0.96306800000000004</v>
      </c>
      <c r="G178" s="1">
        <v>1</v>
      </c>
      <c r="H178" s="1">
        <v>0.35149999999999998</v>
      </c>
      <c r="I178" s="1">
        <v>0.43209999999999998</v>
      </c>
      <c r="K178" s="1">
        <v>2.8419182948490231</v>
      </c>
    </row>
    <row r="179" spans="1:11" ht="15.75" customHeight="1" x14ac:dyDescent="0.3">
      <c r="A179" s="1" t="s">
        <v>346</v>
      </c>
      <c r="B179" s="1" t="s">
        <v>45</v>
      </c>
      <c r="C179" s="1" t="s">
        <v>347</v>
      </c>
      <c r="D179" s="1">
        <f>SQRT((F179^2 + H179^2 + G179^2 + I179^2)/4) * (1 + 1.4* SQRT(MAX(0, K179)/100) * (C179/490) * I179 + MAX(0, 1 - C179/490))</f>
        <v>0.90910003072243217</v>
      </c>
      <c r="E179" s="1">
        <v>6.5714290000000002</v>
      </c>
      <c r="F179" s="1">
        <v>0.92000199999999999</v>
      </c>
      <c r="G179" s="1">
        <v>1</v>
      </c>
      <c r="H179" s="1">
        <v>0.35520000000000002</v>
      </c>
      <c r="I179" s="1">
        <v>0.59689999999999999</v>
      </c>
      <c r="J179" s="1" t="s">
        <v>47</v>
      </c>
      <c r="K179" s="1">
        <v>2.5714285714285716</v>
      </c>
    </row>
    <row r="180" spans="1:11" ht="15.75" customHeight="1" x14ac:dyDescent="0.3">
      <c r="A180" s="1" t="s">
        <v>549</v>
      </c>
      <c r="B180" s="1" t="s">
        <v>16</v>
      </c>
      <c r="C180" s="1" t="s">
        <v>487</v>
      </c>
      <c r="D180" s="1">
        <f>SQRT((F180^2 + H180^2 + G180^2 + I180^2)/4) * (1 + 1.4* SQRT(MAX(0, K180)/100) * (C180/490) * I180 + MAX(0, 1 - C180/490))</f>
        <v>0.7458253747173329</v>
      </c>
      <c r="E180" s="1">
        <v>1.6826920000000001</v>
      </c>
      <c r="F180" s="1">
        <v>0.95701700000000001</v>
      </c>
      <c r="G180" s="1">
        <v>1</v>
      </c>
      <c r="H180" s="1">
        <v>0.34989999999999999</v>
      </c>
      <c r="I180" s="1">
        <v>0.43209999999999998</v>
      </c>
      <c r="K180" s="1">
        <v>-5.5288461538461542</v>
      </c>
    </row>
    <row r="181" spans="1:11" ht="15.75" customHeight="1" x14ac:dyDescent="0.3">
      <c r="A181" s="1" t="s">
        <v>113</v>
      </c>
      <c r="B181" s="1" t="s">
        <v>87</v>
      </c>
      <c r="C181" s="1" t="s">
        <v>114</v>
      </c>
      <c r="D181" s="1">
        <f>SQRT((F181^2 + H181^2 + G181^2 + I181^2)/4) * (1 + 1.4* SQRT(MAX(0, K181)/100) * (C181/490) * I181 + MAX(0, 1 - C181/490))</f>
        <v>1.1964589204292615</v>
      </c>
      <c r="E181" s="1">
        <v>0</v>
      </c>
      <c r="F181" s="1">
        <v>0.88136999999999999</v>
      </c>
      <c r="G181" s="1">
        <v>0.69344600000000001</v>
      </c>
      <c r="H181" s="1">
        <v>0.32900000000000001</v>
      </c>
      <c r="I181" s="1">
        <v>0.43209999999999998</v>
      </c>
      <c r="K181" s="1">
        <v>-2.5641025641025643</v>
      </c>
    </row>
    <row r="182" spans="1:11" ht="15.75" customHeight="1" x14ac:dyDescent="0.3">
      <c r="A182" s="1" t="s">
        <v>91</v>
      </c>
      <c r="B182" s="1" t="s">
        <v>87</v>
      </c>
      <c r="C182" s="1" t="s">
        <v>92</v>
      </c>
      <c r="D182" s="1">
        <f>SQRT((F182^2 + H182^2 + G182^2 + I182^2)/4) * (1 + 1.4* SQRT(MAX(0, K182)/100) * (C182/490) * I182 + MAX(0, 1 - C182/490))</f>
        <v>1.221888440523401</v>
      </c>
      <c r="E182" s="1">
        <v>0</v>
      </c>
      <c r="F182" s="1">
        <v>0.88136999999999999</v>
      </c>
      <c r="G182" s="1">
        <v>0.69344600000000001</v>
      </c>
      <c r="H182" s="1">
        <v>0.32900000000000001</v>
      </c>
      <c r="I182" s="1">
        <v>0.43209999999999998</v>
      </c>
      <c r="K182" s="1">
        <v>-21.05263157894737</v>
      </c>
    </row>
    <row r="183" spans="1:11" ht="15.75" customHeight="1" x14ac:dyDescent="0.3">
      <c r="A183" s="1" t="s">
        <v>89</v>
      </c>
      <c r="B183" s="1" t="s">
        <v>87</v>
      </c>
      <c r="C183" s="1" t="s">
        <v>88</v>
      </c>
      <c r="D183" s="1">
        <f>SQRT((F183^2 + H183^2 + G183^2 + I183^2)/4) * (1 + 1.4* SQRT(MAX(0, K183)/100) * (C183/490) * I183 + MAX(0, 1 - C183/490))</f>
        <v>1.225702868537522</v>
      </c>
      <c r="E183" s="1">
        <v>0</v>
      </c>
      <c r="F183" s="1">
        <v>0.88136999999999999</v>
      </c>
      <c r="G183" s="1">
        <v>0.69344600000000001</v>
      </c>
      <c r="H183" s="1">
        <v>0.32900000000000001</v>
      </c>
      <c r="I183" s="1">
        <v>0.43209999999999998</v>
      </c>
      <c r="K183" s="1">
        <v>-12.5</v>
      </c>
    </row>
    <row r="184" spans="1:11" ht="15.75" customHeight="1" x14ac:dyDescent="0.3">
      <c r="A184" s="1" t="s">
        <v>97</v>
      </c>
      <c r="B184" s="1" t="s">
        <v>87</v>
      </c>
      <c r="C184" s="1" t="s">
        <v>98</v>
      </c>
      <c r="D184" s="1">
        <f>SQRT((F184^2 + H184^2 + G184^2 + I184^2)/4) * (1 + 1.4* SQRT(MAX(0, K184)/100) * (C184/490) * I184 + MAX(0, 1 - C184/490))</f>
        <v>1.2104451564810381</v>
      </c>
      <c r="E184" s="1">
        <v>0</v>
      </c>
      <c r="F184" s="1">
        <v>0.88136999999999999</v>
      </c>
      <c r="G184" s="1">
        <v>0.69344600000000001</v>
      </c>
      <c r="H184" s="1">
        <v>0.32900000000000001</v>
      </c>
      <c r="I184" s="1">
        <v>0.43209999999999998</v>
      </c>
      <c r="K184" s="1">
        <v>0</v>
      </c>
    </row>
    <row r="185" spans="1:11" ht="15.75" customHeight="1" x14ac:dyDescent="0.3">
      <c r="A185" s="1" t="s">
        <v>150</v>
      </c>
      <c r="B185" s="1" t="s">
        <v>24</v>
      </c>
      <c r="C185" s="1" t="s">
        <v>124</v>
      </c>
      <c r="D185" s="1">
        <f>SQRT((F185^2 + H185^2 + G185^2 + I185^2)/4) * (1 + 1.4* SQRT(MAX(0, K185)/100) * (C185/490) * I185 + MAX(0, 1 - C185/490))</f>
        <v>1.1260812029165297</v>
      </c>
      <c r="E185" s="1">
        <v>10.043668</v>
      </c>
      <c r="F185" s="1">
        <v>0.92249199999999998</v>
      </c>
      <c r="G185" s="1">
        <v>1</v>
      </c>
      <c r="H185" s="1">
        <v>0.34870000000000001</v>
      </c>
      <c r="I185" s="1">
        <v>0.43209999999999998</v>
      </c>
      <c r="K185" s="1">
        <v>-5.2401746724890828</v>
      </c>
    </row>
    <row r="186" spans="1:11" ht="15.75" customHeight="1" x14ac:dyDescent="0.3">
      <c r="A186" s="1" t="s">
        <v>129</v>
      </c>
      <c r="B186" s="1" t="s">
        <v>21</v>
      </c>
      <c r="C186" s="1" t="s">
        <v>130</v>
      </c>
      <c r="D186" s="1">
        <f>SQRT((F186^2 + H186^2 + G186^2 + I186^2)/4) * (1 + 1.4* SQRT(MAX(0, K186)/100) * (C186/490) * I186 + MAX(0, 1 - C186/490))</f>
        <v>1.1628883232659268</v>
      </c>
      <c r="E186" s="1">
        <v>4.6511630000000004</v>
      </c>
      <c r="F186" s="1">
        <v>0.95421400000000001</v>
      </c>
      <c r="G186" s="1">
        <v>1</v>
      </c>
      <c r="H186" s="1">
        <v>0.3493</v>
      </c>
      <c r="I186" s="1">
        <v>0.43209999999999998</v>
      </c>
      <c r="K186" s="1">
        <v>-2.7906976744186047</v>
      </c>
    </row>
    <row r="187" spans="1:11" ht="15.75" customHeight="1" x14ac:dyDescent="0.3">
      <c r="A187" s="1" t="s">
        <v>65</v>
      </c>
      <c r="B187" s="1" t="s">
        <v>36</v>
      </c>
      <c r="C187" s="1" t="s">
        <v>66</v>
      </c>
      <c r="D187" s="1">
        <f>SQRT((F187^2 + H187^2 + G187^2 + I187^2)/4) * (1 + 1.4* SQRT(MAX(0, K187)/100) * (C187/490) * I187 + MAX(0, 1 - C187/490))</f>
        <v>1.2691548145818079</v>
      </c>
      <c r="E187" s="1">
        <v>9.9173550000000006</v>
      </c>
      <c r="F187" s="1">
        <v>0.88238399999999995</v>
      </c>
      <c r="G187" s="1">
        <v>1</v>
      </c>
      <c r="H187" s="1">
        <v>0.36220000000000002</v>
      </c>
      <c r="I187" s="1">
        <v>0.43209999999999998</v>
      </c>
      <c r="K187" s="1">
        <v>-2.8138528138528138</v>
      </c>
    </row>
    <row r="188" spans="1:11" ht="15.75" customHeight="1" x14ac:dyDescent="0.3">
      <c r="A188" s="1" t="s">
        <v>400</v>
      </c>
      <c r="B188" s="1" t="s">
        <v>21</v>
      </c>
      <c r="C188" s="1" t="s">
        <v>401</v>
      </c>
      <c r="D188" s="1">
        <f>SQRT((F188^2 + H188^2 + G188^2 + I188^2)/4) * (1 + 1.4* SQRT(MAX(0, K188)/100) * (C188/490) * I188 + MAX(0, 1 - C188/490))</f>
        <v>0.85119890380729046</v>
      </c>
      <c r="E188" s="1">
        <v>6.8</v>
      </c>
      <c r="F188" s="1">
        <v>0.94705099999999998</v>
      </c>
      <c r="G188" s="1">
        <v>0.247085</v>
      </c>
      <c r="H188" s="1">
        <v>0.3493</v>
      </c>
      <c r="I188" s="1">
        <v>0.43209999999999998</v>
      </c>
      <c r="K188" s="1">
        <v>0.54655475307437051</v>
      </c>
    </row>
    <row r="189" spans="1:11" ht="15.75" customHeight="1" x14ac:dyDescent="0.3">
      <c r="A189" s="1" t="s">
        <v>213</v>
      </c>
      <c r="B189" s="1" t="s">
        <v>16</v>
      </c>
      <c r="C189" s="1" t="s">
        <v>214</v>
      </c>
      <c r="D189" s="1">
        <f>SQRT((F189^2 + H189^2 + G189^2 + I189^2)/4) * (1 + 1.4* SQRT(MAX(0, K189)/100) * (C189/490) * I189 + MAX(0, 1 - C189/490))</f>
        <v>1.0514827743770585</v>
      </c>
      <c r="E189" s="1">
        <v>4.895105</v>
      </c>
      <c r="F189" s="1">
        <v>0.94630800000000004</v>
      </c>
      <c r="G189" s="1">
        <v>1</v>
      </c>
      <c r="H189" s="1">
        <v>0.34989999999999999</v>
      </c>
      <c r="I189" s="1">
        <v>0.43209999999999998</v>
      </c>
      <c r="K189" s="1">
        <v>-3.1468531468531467</v>
      </c>
    </row>
    <row r="190" spans="1:11" ht="15.75" customHeight="1" x14ac:dyDescent="0.3">
      <c r="A190" s="1" t="s">
        <v>35</v>
      </c>
      <c r="B190" s="1" t="s">
        <v>36</v>
      </c>
      <c r="C190" s="1" t="s">
        <v>37</v>
      </c>
      <c r="D190" s="1">
        <f>SQRT((F190^2 + H190^2 + G190^2 + I190^2)/4) * (1 + 1.4* SQRT(MAX(0, K190)/100) * (C190/490) * I190 + MAX(0, 1 - C190/490))</f>
        <v>1.3319964563161082</v>
      </c>
      <c r="E190" s="1">
        <v>17.391304000000002</v>
      </c>
      <c r="F190" s="1">
        <v>0.85746999999999995</v>
      </c>
      <c r="G190" s="1">
        <v>1</v>
      </c>
      <c r="H190" s="1">
        <v>0.36220000000000002</v>
      </c>
      <c r="I190" s="1">
        <v>0.43209999999999998</v>
      </c>
      <c r="K190" s="1">
        <v>-2.8138528138528138</v>
      </c>
    </row>
    <row r="191" spans="1:11" ht="15.75" customHeight="1" x14ac:dyDescent="0.3">
      <c r="A191" s="1" t="s">
        <v>207</v>
      </c>
      <c r="B191" s="1" t="s">
        <v>36</v>
      </c>
      <c r="C191" s="1" t="s">
        <v>208</v>
      </c>
      <c r="D191" s="1">
        <f>SQRT((F191^2 + H191^2 + G191^2 + I191^2)/4) * (1 + 1.4* SQRT(MAX(0, K191)/100) * (C191/490) * I191 + MAX(0, 1 - C191/490))</f>
        <v>1.0520052404385964</v>
      </c>
      <c r="E191" s="1">
        <v>5.8823530000000002</v>
      </c>
      <c r="F191" s="1">
        <v>0.89583400000000002</v>
      </c>
      <c r="G191" s="1">
        <v>1</v>
      </c>
      <c r="H191" s="1">
        <v>0.36220000000000002</v>
      </c>
      <c r="I191" s="1">
        <v>0.43209999999999998</v>
      </c>
      <c r="K191" s="1">
        <v>-2.8138528138528138</v>
      </c>
    </row>
    <row r="192" spans="1:11" ht="15.75" customHeight="1" x14ac:dyDescent="0.3">
      <c r="A192" s="1" t="s">
        <v>574</v>
      </c>
      <c r="B192" s="1" t="s">
        <v>24</v>
      </c>
      <c r="C192" s="1" t="s">
        <v>575</v>
      </c>
      <c r="D192" s="1">
        <f>SQRT((F192^2 + H192^2 + G192^2 + I192^2)/4) * (1 + 1.4* SQRT(MAX(0, K192)/100) * (C192/490) * I192 + MAX(0, 1 - C192/490))</f>
        <v>0.74210916574921781</v>
      </c>
      <c r="E192" s="1">
        <v>3.0411450000000002</v>
      </c>
      <c r="F192" s="1">
        <v>0.94583399999999995</v>
      </c>
      <c r="G192" s="1">
        <v>1</v>
      </c>
      <c r="H192" s="1">
        <v>0.34870000000000001</v>
      </c>
      <c r="I192" s="1">
        <v>0.43209999999999998</v>
      </c>
      <c r="K192" s="1">
        <v>-1.3678905687544995</v>
      </c>
    </row>
    <row r="193" spans="1:11" ht="15.75" customHeight="1" x14ac:dyDescent="0.3">
      <c r="A193" s="1" t="s">
        <v>523</v>
      </c>
      <c r="B193" s="1" t="s">
        <v>21</v>
      </c>
      <c r="C193" s="1" t="s">
        <v>524</v>
      </c>
      <c r="D193" s="1">
        <f>SQRT((F193^2 + H193^2 + G193^2 + I193^2)/4) * (1 + 1.4* SQRT(MAX(0, K193)/100) * (C193/490) * I193 + MAX(0, 1 - C193/490))</f>
        <v>0.74752802642375893</v>
      </c>
      <c r="E193" s="1">
        <v>2.1551719999999999</v>
      </c>
      <c r="F193" s="1">
        <v>0.962534</v>
      </c>
      <c r="G193" s="1">
        <v>1</v>
      </c>
      <c r="H193" s="1">
        <v>0.3493</v>
      </c>
      <c r="I193" s="1">
        <v>0.43209999999999998</v>
      </c>
      <c r="K193" s="1">
        <v>-9.2672413793103452</v>
      </c>
    </row>
    <row r="194" spans="1:11" ht="15.75" customHeight="1" x14ac:dyDescent="0.3">
      <c r="A194" s="1" t="s">
        <v>282</v>
      </c>
      <c r="B194" s="1" t="s">
        <v>12</v>
      </c>
      <c r="C194" s="1" t="s">
        <v>283</v>
      </c>
      <c r="D194" s="1">
        <f>SQRT((F194^2 + H194^2 + G194^2 + I194^2)/4) * (1 + 1.4* SQRT(MAX(0, K194)/100) * (C194/490) * I194 + MAX(0, 1 - C194/490))</f>
        <v>0.96180250626513297</v>
      </c>
      <c r="E194" s="1">
        <v>0</v>
      </c>
      <c r="F194" s="1">
        <v>0.97967099999999996</v>
      </c>
      <c r="G194" s="1">
        <v>1</v>
      </c>
      <c r="H194" s="1">
        <v>0.33129999999999998</v>
      </c>
      <c r="I194" s="1">
        <v>0.46929999999999999</v>
      </c>
      <c r="J194" s="1" t="s">
        <v>14</v>
      </c>
      <c r="K194" s="1">
        <v>2.9940119760479043</v>
      </c>
    </row>
    <row r="195" spans="1:11" ht="15.75" customHeight="1" x14ac:dyDescent="0.3">
      <c r="A195" s="1" t="s">
        <v>200</v>
      </c>
      <c r="B195" s="1" t="s">
        <v>21</v>
      </c>
      <c r="C195" s="1" t="s">
        <v>186</v>
      </c>
      <c r="D195" s="1">
        <f>SQRT((F195^2 + H195^2 + G195^2 + I195^2)/4) * (1 + 1.4* SQRT(MAX(0, K195)/100) * (C195/490) * I195 + MAX(0, 1 - C195/490))</f>
        <v>1.0624611274761817</v>
      </c>
      <c r="E195" s="1">
        <v>5.7142860000000004</v>
      </c>
      <c r="F195" s="1">
        <v>0.95067000000000002</v>
      </c>
      <c r="G195" s="1">
        <v>1</v>
      </c>
      <c r="H195" s="1">
        <v>0.3493</v>
      </c>
      <c r="I195" s="1">
        <v>0.43209999999999998</v>
      </c>
      <c r="K195" s="1">
        <v>-3.2142857142857144</v>
      </c>
    </row>
    <row r="196" spans="1:11" ht="15.75" customHeight="1" x14ac:dyDescent="0.3">
      <c r="A196" s="1" t="s">
        <v>394</v>
      </c>
      <c r="B196" s="1" t="s">
        <v>111</v>
      </c>
      <c r="C196" s="1" t="s">
        <v>395</v>
      </c>
      <c r="D196" s="1">
        <f>SQRT((F196^2 + H196^2 + G196^2 + I196^2)/4) * (1 + 1.4* SQRT(MAX(0, K196)/100) * (C196/490) * I196 + MAX(0, 1 - C196/490))</f>
        <v>0.85286206187762903</v>
      </c>
      <c r="E196" s="1">
        <v>6.5</v>
      </c>
      <c r="F196" s="1">
        <v>0.95564400000000005</v>
      </c>
      <c r="G196" s="1">
        <v>1</v>
      </c>
      <c r="H196" s="1">
        <v>0.3322</v>
      </c>
      <c r="I196" s="1">
        <v>0.23019999999999999</v>
      </c>
      <c r="J196" s="1" t="s">
        <v>112</v>
      </c>
      <c r="K196" s="1">
        <v>-1.5</v>
      </c>
    </row>
    <row r="197" spans="1:11" ht="15.75" customHeight="1" x14ac:dyDescent="0.3">
      <c r="A197" s="1" t="s">
        <v>537</v>
      </c>
      <c r="B197" s="1" t="s">
        <v>21</v>
      </c>
      <c r="C197" s="1" t="s">
        <v>538</v>
      </c>
      <c r="D197" s="1">
        <f>SQRT((F197^2 + H197^2 + G197^2 + I197^2)/4) * (1 + 1.4* SQRT(MAX(0, K197)/100) * (C197/490) * I197 + MAX(0, 1 - C197/490))</f>
        <v>0.74642118881768083</v>
      </c>
      <c r="E197" s="1">
        <v>3.1879189999999999</v>
      </c>
      <c r="F197" s="1">
        <v>0.95909199999999994</v>
      </c>
      <c r="G197" s="1">
        <v>1</v>
      </c>
      <c r="H197" s="1">
        <v>0.3493</v>
      </c>
      <c r="I197" s="1">
        <v>0.43209999999999998</v>
      </c>
      <c r="K197" s="1">
        <v>0</v>
      </c>
    </row>
    <row r="198" spans="1:11" ht="15.75" customHeight="1" x14ac:dyDescent="0.3">
      <c r="A198" s="1" t="s">
        <v>106</v>
      </c>
      <c r="B198" s="1" t="s">
        <v>12</v>
      </c>
      <c r="C198" s="1" t="s">
        <v>107</v>
      </c>
      <c r="D198" s="1">
        <f>SQRT((F198^2 + H198^2 + G198^2 + I198^2)/4) * (1 + 1.4* SQRT(MAX(0, K198)/100) * (C198/490) * I198 + MAX(0, 1 - C198/490))</f>
        <v>1.2059233333374393</v>
      </c>
      <c r="E198" s="1">
        <v>0</v>
      </c>
      <c r="F198" s="1">
        <v>0.97967099999999996</v>
      </c>
      <c r="G198" s="1">
        <v>1</v>
      </c>
      <c r="H198" s="1">
        <v>0.33129999999999998</v>
      </c>
      <c r="I198" s="1">
        <v>0.46929999999999999</v>
      </c>
      <c r="J198" s="1" t="s">
        <v>14</v>
      </c>
      <c r="K198" s="1">
        <v>0</v>
      </c>
    </row>
    <row r="199" spans="1:11" ht="15.75" customHeight="1" x14ac:dyDescent="0.3">
      <c r="A199" s="1" t="s">
        <v>789</v>
      </c>
      <c r="B199" s="1" t="s">
        <v>49</v>
      </c>
      <c r="C199" s="1" t="s">
        <v>790</v>
      </c>
      <c r="D199" s="1">
        <f>SQRT((F199^2 + H199^2 + G199^2 + I199^2)/4) * (1 + 1.4* SQRT(MAX(0, K199)/100) * (C199/490) * I199 + MAX(0, 1 - C199/490))</f>
        <v>0.60461272072822903</v>
      </c>
      <c r="E199" s="1">
        <v>8.5946569999999998</v>
      </c>
      <c r="F199" s="1">
        <v>0.94507699999999994</v>
      </c>
      <c r="G199" s="1">
        <v>0.364228</v>
      </c>
      <c r="H199" s="1">
        <v>0.35149999999999998</v>
      </c>
      <c r="I199" s="1">
        <v>0.43209999999999998</v>
      </c>
      <c r="K199" s="1">
        <v>0.18839103869653767</v>
      </c>
    </row>
    <row r="200" spans="1:11" ht="15.75" customHeight="1" x14ac:dyDescent="0.3">
      <c r="A200" s="1" t="s">
        <v>173</v>
      </c>
      <c r="B200" s="1" t="s">
        <v>49</v>
      </c>
      <c r="C200" s="1" t="s">
        <v>174</v>
      </c>
      <c r="D200" s="1">
        <f>SQRT((F200^2 + H200^2 + G200^2 + I200^2)/4) * (1 + 1.4* SQRT(MAX(0, K200)/100) * (C200/490) * I200 + MAX(0, 1 - C200/490))</f>
        <v>1.0914256471437094</v>
      </c>
      <c r="E200" s="1">
        <v>6.1068699999999998</v>
      </c>
      <c r="F200" s="1">
        <v>0.95336900000000002</v>
      </c>
      <c r="G200" s="1">
        <v>1</v>
      </c>
      <c r="H200" s="1">
        <v>0.35149999999999998</v>
      </c>
      <c r="I200" s="1">
        <v>0.43209999999999998</v>
      </c>
      <c r="K200" s="1">
        <v>-1.0997643362136684</v>
      </c>
    </row>
    <row r="201" spans="1:11" ht="15.75" customHeight="1" x14ac:dyDescent="0.3">
      <c r="A201" s="1" t="s">
        <v>448</v>
      </c>
      <c r="B201" s="1" t="s">
        <v>49</v>
      </c>
      <c r="C201" s="1" t="s">
        <v>440</v>
      </c>
      <c r="D201" s="1">
        <f>SQRT((F201^2 + H201^2 + G201^2 + I201^2)/4) * (1 + 1.4* SQRT(MAX(0, K201)/100) * (C201/490) * I201 + MAX(0, 1 - C201/490))</f>
        <v>0.80049724624547636</v>
      </c>
      <c r="E201" s="1">
        <v>6.6225170000000002</v>
      </c>
      <c r="F201" s="1">
        <v>0.95165100000000002</v>
      </c>
      <c r="G201" s="1">
        <v>1</v>
      </c>
      <c r="H201" s="1">
        <v>0.35149999999999998</v>
      </c>
      <c r="I201" s="1">
        <v>0.43209999999999998</v>
      </c>
      <c r="K201" s="1">
        <v>-1.0997643362136684</v>
      </c>
    </row>
    <row r="202" spans="1:11" ht="15.75" customHeight="1" x14ac:dyDescent="0.3">
      <c r="A202" s="1" t="s">
        <v>559</v>
      </c>
      <c r="B202" s="1" t="s">
        <v>16</v>
      </c>
      <c r="C202" s="1" t="s">
        <v>560</v>
      </c>
      <c r="D202" s="1">
        <f>SQRT((F202^2 + H202^2 + G202^2 + I202^2)/4) * (1 + 1.4* SQRT(MAX(0, K202)/100) * (C202/490) * I202 + MAX(0, 1 - C202/490))</f>
        <v>0.74417144422656401</v>
      </c>
      <c r="E202" s="1">
        <v>3.2317640000000001</v>
      </c>
      <c r="F202" s="1">
        <v>0.95185299999999995</v>
      </c>
      <c r="G202" s="1">
        <v>1</v>
      </c>
      <c r="H202" s="1">
        <v>0.34989999999999999</v>
      </c>
      <c r="I202" s="1">
        <v>0.43209999999999998</v>
      </c>
      <c r="K202" s="1">
        <v>-4.7091412742382275</v>
      </c>
    </row>
    <row r="203" spans="1:11" ht="15.75" customHeight="1" x14ac:dyDescent="0.3">
      <c r="A203" s="1" t="s">
        <v>196</v>
      </c>
      <c r="B203" s="1" t="s">
        <v>36</v>
      </c>
      <c r="C203" s="1" t="s">
        <v>197</v>
      </c>
      <c r="D203" s="1">
        <f>SQRT((F203^2 + H203^2 + G203^2 + I203^2)/4) * (1 + 1.4* SQRT(MAX(0, K203)/100) * (C203/490) * I203 + MAX(0, 1 - C203/490))</f>
        <v>1.0667047802801202</v>
      </c>
      <c r="E203" s="1">
        <v>3.0188679999999999</v>
      </c>
      <c r="F203" s="1">
        <v>0.90537900000000004</v>
      </c>
      <c r="G203" s="1">
        <v>1</v>
      </c>
      <c r="H203" s="1">
        <v>0.36220000000000002</v>
      </c>
      <c r="I203" s="1">
        <v>0.43209999999999998</v>
      </c>
      <c r="K203" s="1">
        <v>-3.7735849056603774</v>
      </c>
    </row>
    <row r="204" spans="1:11" ht="15.75" customHeight="1" x14ac:dyDescent="0.3">
      <c r="A204" s="1" t="s">
        <v>570</v>
      </c>
      <c r="B204" s="1" t="s">
        <v>24</v>
      </c>
      <c r="C204" s="1" t="s">
        <v>571</v>
      </c>
      <c r="D204" s="1">
        <f>SQRT((F204^2 + H204^2 + G204^2 + I204^2)/4) * (1 + 1.4* SQRT(MAX(0, K204)/100) * (C204/490) * I204 + MAX(0, 1 - C204/490))</f>
        <v>0.74263230734075247</v>
      </c>
      <c r="E204" s="1">
        <v>2.5488529999999998</v>
      </c>
      <c r="F204" s="1">
        <v>0.94747499999999996</v>
      </c>
      <c r="G204" s="1">
        <v>1</v>
      </c>
      <c r="H204" s="1">
        <v>0.34870000000000001</v>
      </c>
      <c r="I204" s="1">
        <v>0.43209999999999998</v>
      </c>
      <c r="K204" s="1">
        <v>0</v>
      </c>
    </row>
    <row r="205" spans="1:11" ht="15.75" customHeight="1" x14ac:dyDescent="0.3">
      <c r="A205" s="1" t="s">
        <v>305</v>
      </c>
      <c r="B205" s="1" t="s">
        <v>21</v>
      </c>
      <c r="C205" s="1" t="s">
        <v>306</v>
      </c>
      <c r="D205" s="1">
        <f>SQRT((F205^2 + H205^2 + G205^2 + I205^2)/4) * (1 + 1.4* SQRT(MAX(0, K205)/100) * (C205/490) * I205 + MAX(0, 1 - C205/490))</f>
        <v>0.93675848492814329</v>
      </c>
      <c r="E205" s="1">
        <v>5.5096420000000004</v>
      </c>
      <c r="F205" s="1">
        <v>0.951353</v>
      </c>
      <c r="G205" s="1">
        <v>1</v>
      </c>
      <c r="H205" s="1">
        <v>0.3493</v>
      </c>
      <c r="I205" s="1">
        <v>0.43209999999999998</v>
      </c>
      <c r="K205" s="1">
        <v>-4.1322314049586772</v>
      </c>
    </row>
    <row r="206" spans="1:11" ht="15.75" customHeight="1" x14ac:dyDescent="0.3">
      <c r="A206" s="1" t="s">
        <v>744</v>
      </c>
      <c r="B206" s="1" t="s">
        <v>36</v>
      </c>
      <c r="C206" s="1" t="s">
        <v>745</v>
      </c>
      <c r="D206" s="1">
        <f>SQRT((F206^2 + H206^2 + G206^2 + I206^2)/4) * (1 + 1.4* SQRT(MAX(0, K206)/100) * (C206/490) * I206 + MAX(0, 1 - C206/490))</f>
        <v>0.62157503264309066</v>
      </c>
      <c r="E206" s="1">
        <v>5.752961</v>
      </c>
      <c r="F206" s="1">
        <v>0.89626499999999998</v>
      </c>
      <c r="G206" s="1">
        <v>0.57516</v>
      </c>
      <c r="H206" s="1">
        <v>0.36220000000000002</v>
      </c>
      <c r="I206" s="1">
        <v>0.43209999999999998</v>
      </c>
      <c r="K206" s="1">
        <v>0.18839103869653767</v>
      </c>
    </row>
    <row r="207" spans="1:11" ht="15.75" customHeight="1" x14ac:dyDescent="0.3">
      <c r="A207" s="1" t="s">
        <v>206</v>
      </c>
      <c r="B207" s="1" t="s">
        <v>36</v>
      </c>
      <c r="C207" s="1" t="s">
        <v>182</v>
      </c>
      <c r="D207" s="1">
        <f>SQRT((F207^2 + H207^2 + G207^2 + I207^2)/4) * (1 + 1.4* SQRT(MAX(0, K207)/100) * (C207/490) * I207 + MAX(0, 1 - C207/490))</f>
        <v>1.0538125422828961</v>
      </c>
      <c r="E207" s="1">
        <v>6.6666670000000003</v>
      </c>
      <c r="F207" s="1">
        <v>0.89321899999999999</v>
      </c>
      <c r="G207" s="1">
        <v>1</v>
      </c>
      <c r="H207" s="1">
        <v>0.36220000000000002</v>
      </c>
      <c r="I207" s="1">
        <v>0.43209999999999998</v>
      </c>
      <c r="K207" s="1">
        <v>-1.8518518518518519</v>
      </c>
    </row>
    <row r="208" spans="1:11" ht="15.75" customHeight="1" x14ac:dyDescent="0.3">
      <c r="A208" s="1" t="s">
        <v>576</v>
      </c>
      <c r="B208" s="1" t="s">
        <v>24</v>
      </c>
      <c r="C208" s="1" t="s">
        <v>577</v>
      </c>
      <c r="D208" s="1">
        <f>SQRT((F208^2 + H208^2 + G208^2 + I208^2)/4) * (1 + 1.4* SQRT(MAX(0, K208)/100) * (C208/490) * I208 + MAX(0, 1 - C208/490))</f>
        <v>0.74191866058483802</v>
      </c>
      <c r="E208" s="1">
        <v>3.220612</v>
      </c>
      <c r="F208" s="1">
        <v>0.94523599999999997</v>
      </c>
      <c r="G208" s="1">
        <v>1</v>
      </c>
      <c r="H208" s="1">
        <v>0.34870000000000001</v>
      </c>
      <c r="I208" s="1">
        <v>0.43209999999999998</v>
      </c>
      <c r="K208" s="1">
        <v>-2.576489533011272</v>
      </c>
    </row>
    <row r="209" spans="1:11" ht="15.75" customHeight="1" x14ac:dyDescent="0.3">
      <c r="A209" s="1" t="s">
        <v>15</v>
      </c>
      <c r="B209" s="1" t="s">
        <v>16</v>
      </c>
      <c r="C209" s="1" t="s">
        <v>17</v>
      </c>
      <c r="D209" s="1">
        <f>SQRT((F209^2 + H209^2 + G209^2 + I209^2)/4) * (1 + 1.4* (SQRT(MAX(0, K209)/100)) * (C209/490) * I209 + MAX(0, 1 - C209/490))</f>
        <v>1.4427953431938905</v>
      </c>
      <c r="E209" s="1">
        <v>9.0909089999999999</v>
      </c>
      <c r="F209" s="1">
        <v>0.93232199999999998</v>
      </c>
      <c r="G209" s="1">
        <v>1</v>
      </c>
      <c r="H209" s="1">
        <v>0.34989999999999999</v>
      </c>
      <c r="I209" s="1">
        <v>0.43209999999999998</v>
      </c>
      <c r="K209" s="1">
        <v>0</v>
      </c>
    </row>
    <row r="210" spans="1:11" ht="15.75" customHeight="1" x14ac:dyDescent="0.3">
      <c r="A210" s="1" t="s">
        <v>60</v>
      </c>
      <c r="B210" s="1" t="s">
        <v>36</v>
      </c>
      <c r="C210" s="1" t="s">
        <v>61</v>
      </c>
      <c r="D210" s="1">
        <f>SQRT((F210^2 + H210^2 + G210^2 + I210^2)/4) * (1 + 1.4* SQRT(MAX(0, K210)/100) * (C210/490) * I210 + MAX(0, 1 - C210/490))</f>
        <v>1.2729451805414014</v>
      </c>
      <c r="E210" s="1">
        <v>12.598425000000001</v>
      </c>
      <c r="F210" s="1">
        <v>0.87344699999999997</v>
      </c>
      <c r="G210" s="1">
        <v>1</v>
      </c>
      <c r="H210" s="1">
        <v>0.36220000000000002</v>
      </c>
      <c r="I210" s="1">
        <v>0.43209999999999998</v>
      </c>
      <c r="K210" s="1">
        <v>2.3622047244094486</v>
      </c>
    </row>
    <row r="211" spans="1:11" ht="15.75" customHeight="1" x14ac:dyDescent="0.3">
      <c r="A211" s="1" t="s">
        <v>143</v>
      </c>
      <c r="B211" s="1" t="s">
        <v>16</v>
      </c>
      <c r="C211" s="1" t="s">
        <v>55</v>
      </c>
      <c r="D211" s="1">
        <f>SQRT((F211^2 + H211^2 + G211^2 + I211^2)/4) * (1 + 1.4* SQRT(MAX(0, K211)/100) * (C211/490) * I211 + MAX(0, 1 - C211/490))</f>
        <v>1.1417565391810374</v>
      </c>
      <c r="E211" s="1">
        <v>0</v>
      </c>
      <c r="F211" s="1">
        <v>0.96262599999999998</v>
      </c>
      <c r="G211" s="1">
        <v>0.69344600000000001</v>
      </c>
      <c r="H211" s="1">
        <v>0.34989999999999999</v>
      </c>
      <c r="I211" s="1">
        <v>0.43209999999999998</v>
      </c>
      <c r="K211" s="1">
        <v>0</v>
      </c>
    </row>
    <row r="212" spans="1:11" ht="15.75" customHeight="1" x14ac:dyDescent="0.3">
      <c r="A212" s="1" t="s">
        <v>161</v>
      </c>
      <c r="B212" s="1" t="s">
        <v>49</v>
      </c>
      <c r="C212" s="1" t="s">
        <v>162</v>
      </c>
      <c r="D212" s="1">
        <f>SQRT((F212^2 + H212^2 + G212^2 + I212^2)/4) * (1 + 1.4* SQRT(MAX(0, K212)/100) * (C212/490) * I212 + MAX(0, 1 - C212/490))</f>
        <v>1.1025637924143621</v>
      </c>
      <c r="E212" s="1">
        <v>0</v>
      </c>
      <c r="F212" s="1">
        <v>0.97372599999999998</v>
      </c>
      <c r="G212" s="1">
        <v>1</v>
      </c>
      <c r="H212" s="1">
        <v>0.35149999999999998</v>
      </c>
      <c r="I212" s="1">
        <v>0.43209999999999998</v>
      </c>
      <c r="K212" s="1">
        <v>-8.0459770114942533</v>
      </c>
    </row>
    <row r="213" spans="1:11" ht="15.75" customHeight="1" x14ac:dyDescent="0.3">
      <c r="A213" s="1" t="s">
        <v>201</v>
      </c>
      <c r="B213" s="1" t="s">
        <v>49</v>
      </c>
      <c r="C213" s="1" t="s">
        <v>202</v>
      </c>
      <c r="D213" s="1">
        <f>SQRT((F213^2 + H213^2 + G213^2 + I213^2)/4) * (1 + 1.4* SQRT(MAX(0, K213)/100) * (C213/490) * I213 + MAX(0, 1 - C213/490))</f>
        <v>1.0552793780121523</v>
      </c>
      <c r="E213" s="1">
        <v>4.8780489999999999</v>
      </c>
      <c r="F213" s="1">
        <v>0.95746500000000001</v>
      </c>
      <c r="G213" s="1">
        <v>1</v>
      </c>
      <c r="H213" s="1">
        <v>0.35149999999999998</v>
      </c>
      <c r="I213" s="1">
        <v>0.43209999999999998</v>
      </c>
      <c r="K213" s="1">
        <v>-3.1358885017421603</v>
      </c>
    </row>
    <row r="214" spans="1:11" ht="15.75" customHeight="1" x14ac:dyDescent="0.3">
      <c r="A214" s="1" t="s">
        <v>260</v>
      </c>
      <c r="B214" s="1" t="s">
        <v>49</v>
      </c>
      <c r="C214" s="1" t="s">
        <v>261</v>
      </c>
      <c r="D214" s="1">
        <f>SQRT((F214^2 + H214^2 + G214^2 + I214^2)/4) * (1 + 1.4* SQRT(MAX(0, K214)/100) * (C214/490) * I214 + MAX(0, 1 - C214/490))</f>
        <v>0.99371416705148252</v>
      </c>
      <c r="E214" s="1">
        <v>4.2682929999999999</v>
      </c>
      <c r="F214" s="1">
        <v>0.95949799999999996</v>
      </c>
      <c r="G214" s="1">
        <v>1</v>
      </c>
      <c r="H214" s="1">
        <v>0.35149999999999998</v>
      </c>
      <c r="I214" s="1">
        <v>0.43209999999999998</v>
      </c>
      <c r="K214" s="1">
        <v>-1.524390243902439</v>
      </c>
    </row>
    <row r="215" spans="1:11" ht="15.75" customHeight="1" x14ac:dyDescent="0.3">
      <c r="A215" s="1" t="s">
        <v>525</v>
      </c>
      <c r="B215" s="1" t="s">
        <v>49</v>
      </c>
      <c r="C215" s="1" t="s">
        <v>526</v>
      </c>
      <c r="D215" s="1">
        <f>SQRT((F215^2 + H215^2 + G215^2 + I215^2)/4) * (1 + 1.4* SQRT(MAX(0, K215)/100) * (C215/490) * I215 + MAX(0, 1 - C215/490))</f>
        <v>0.74724641759746824</v>
      </c>
      <c r="E215" s="1">
        <v>3.8605230000000001</v>
      </c>
      <c r="F215" s="1">
        <v>0.96085699999999996</v>
      </c>
      <c r="G215" s="1">
        <v>1</v>
      </c>
      <c r="H215" s="1">
        <v>0.35149999999999998</v>
      </c>
      <c r="I215" s="1">
        <v>0.43209999999999998</v>
      </c>
      <c r="K215" s="1">
        <v>-3.3623910336239105</v>
      </c>
    </row>
    <row r="216" spans="1:11" ht="15.75" customHeight="1" x14ac:dyDescent="0.3">
      <c r="A216" s="1" t="s">
        <v>169</v>
      </c>
      <c r="B216" s="1" t="s">
        <v>12</v>
      </c>
      <c r="C216" s="1" t="s">
        <v>170</v>
      </c>
      <c r="D216" s="1">
        <f>SQRT((F216^2 + H216^2 + G216^2 + I216^2)/4) * (1 + 1.4* SQRT(MAX(0, K216)/100) * (C216/490) * I216 + MAX(0, 1 - C216/490))</f>
        <v>1.0949613884534546</v>
      </c>
      <c r="E216" s="1">
        <v>1.4248700000000001</v>
      </c>
      <c r="F216" s="1">
        <v>0.97492199999999996</v>
      </c>
      <c r="G216" s="1">
        <v>1</v>
      </c>
      <c r="H216" s="1">
        <v>0.33129999999999998</v>
      </c>
      <c r="I216" s="1">
        <v>0.46929999999999999</v>
      </c>
      <c r="J216" s="1" t="s">
        <v>14</v>
      </c>
      <c r="K216" s="1">
        <v>4.7279792746113989</v>
      </c>
    </row>
    <row r="217" spans="1:11" ht="15.75" customHeight="1" x14ac:dyDescent="0.3">
      <c r="A217" s="1" t="s">
        <v>141</v>
      </c>
      <c r="B217" s="1" t="s">
        <v>45</v>
      </c>
      <c r="C217" s="1" t="s">
        <v>142</v>
      </c>
      <c r="D217" s="1">
        <f>SQRT((F217^2 + H217^2 + G217^2 + I217^2)/4) * (1 + 1.4* SQRT(MAX(0, K217)/100) * (C217/490) * I217 + MAX(0, 1 - C217/490))</f>
        <v>1.142150624965464</v>
      </c>
      <c r="E217" s="1">
        <v>8.1632650000000009</v>
      </c>
      <c r="F217" s="1">
        <v>0.91469599999999995</v>
      </c>
      <c r="G217" s="1">
        <v>1</v>
      </c>
      <c r="H217" s="1">
        <v>0.35520000000000002</v>
      </c>
      <c r="I217" s="1">
        <v>0.59689999999999999</v>
      </c>
      <c r="J217" s="1" t="s">
        <v>47</v>
      </c>
      <c r="K217" s="1">
        <v>-2.8571428571428572</v>
      </c>
    </row>
    <row r="218" spans="1:11" ht="15.75" customHeight="1" x14ac:dyDescent="0.3">
      <c r="A218" s="1" t="s">
        <v>258</v>
      </c>
      <c r="B218" s="1" t="s">
        <v>21</v>
      </c>
      <c r="C218" s="1" t="s">
        <v>259</v>
      </c>
      <c r="D218" s="1">
        <f>SQRT((F218^2 + H218^2 + G218^2 + I218^2)/4) * (1 + 1.4* SQRT(MAX(0, K218)/100) * (C218/490) * I218 + MAX(0, 1 - C218/490))</f>
        <v>0.99584903614975684</v>
      </c>
      <c r="E218" s="1">
        <v>0</v>
      </c>
      <c r="F218" s="1">
        <v>0.96971799999999997</v>
      </c>
      <c r="G218" s="1">
        <v>0.69344600000000001</v>
      </c>
      <c r="H218" s="1">
        <v>0.3493</v>
      </c>
      <c r="I218" s="1">
        <v>0.43209999999999998</v>
      </c>
      <c r="K218" s="1">
        <v>0</v>
      </c>
    </row>
    <row r="219" spans="1:11" ht="15.75" customHeight="1" x14ac:dyDescent="0.3">
      <c r="A219" s="1" t="s">
        <v>264</v>
      </c>
      <c r="B219" s="1" t="s">
        <v>21</v>
      </c>
      <c r="C219" s="1" t="s">
        <v>265</v>
      </c>
      <c r="D219" s="1">
        <f>SQRT((F219^2 + H219^2 + G219^2 + I219^2)/4) * (1 + 1.4* SQRT(MAX(0, K219)/100) * (C219/490) * I219 + MAX(0, 1 - C219/490))</f>
        <v>0.98394803424043487</v>
      </c>
      <c r="E219" s="1">
        <v>5.4216870000000004</v>
      </c>
      <c r="F219" s="1">
        <v>0.95164599999999999</v>
      </c>
      <c r="G219" s="1">
        <v>1</v>
      </c>
      <c r="H219" s="1">
        <v>0.3493</v>
      </c>
      <c r="I219" s="1">
        <v>0.43209999999999998</v>
      </c>
      <c r="K219" s="1">
        <v>-3.9156626506024095</v>
      </c>
    </row>
    <row r="220" spans="1:11" ht="15.75" customHeight="1" x14ac:dyDescent="0.3">
      <c r="A220" s="1" t="s">
        <v>312</v>
      </c>
      <c r="B220" s="1" t="s">
        <v>49</v>
      </c>
      <c r="C220" s="1" t="s">
        <v>313</v>
      </c>
      <c r="D220" s="1">
        <f>SQRT((F220^2 + H220^2 + G220^2 + I220^2)/4) * (1 + 1.4* SQRT(MAX(0, K220)/100) * (C220/490) * I220 + MAX(0, 1 - C220/490))</f>
        <v>0.93200510136629966</v>
      </c>
      <c r="E220" s="1">
        <v>7.1038249999999996</v>
      </c>
      <c r="F220" s="1">
        <v>0.95004599999999995</v>
      </c>
      <c r="G220" s="1">
        <v>1</v>
      </c>
      <c r="H220" s="1">
        <v>0.35149999999999998</v>
      </c>
      <c r="I220" s="1">
        <v>0.43209999999999998</v>
      </c>
      <c r="K220" s="1">
        <v>-5.1912568306010929</v>
      </c>
    </row>
    <row r="221" spans="1:11" ht="15.75" customHeight="1" x14ac:dyDescent="0.3">
      <c r="A221" s="1" t="s">
        <v>181</v>
      </c>
      <c r="B221" s="1" t="s">
        <v>49</v>
      </c>
      <c r="C221" s="1" t="s">
        <v>182</v>
      </c>
      <c r="D221" s="1">
        <f>SQRT((F221^2 + H221^2 + G221^2 + I221^2)/4) * (1 + 1.4* SQRT(MAX(0, K221)/100) * (C221/490) * I221 + MAX(0, 1 - C221/490))</f>
        <v>1.0829884601724822</v>
      </c>
      <c r="E221" s="1">
        <v>3.7037040000000001</v>
      </c>
      <c r="F221" s="1">
        <v>0.96138000000000001</v>
      </c>
      <c r="G221" s="1">
        <v>1</v>
      </c>
      <c r="H221" s="1">
        <v>0.35149999999999998</v>
      </c>
      <c r="I221" s="1">
        <v>0.43209999999999998</v>
      </c>
      <c r="K221" s="1">
        <v>-3.3333333333333335</v>
      </c>
    </row>
    <row r="222" spans="1:11" ht="15.75" customHeight="1" x14ac:dyDescent="0.3">
      <c r="A222" s="1" t="s">
        <v>270</v>
      </c>
      <c r="B222" s="1" t="s">
        <v>49</v>
      </c>
      <c r="C222" s="1" t="s">
        <v>271</v>
      </c>
      <c r="D222" s="1">
        <f>SQRT((F222^2 + H222^2 + G222^2 + I222^2)/4) * (1 + 1.4* SQRT(MAX(0, K222)/100) * (C222/490) * I222 + MAX(0, 1 - C222/490))</f>
        <v>0.97728343678156493</v>
      </c>
      <c r="E222" s="1">
        <v>2.941176</v>
      </c>
      <c r="F222" s="1">
        <v>0.96392199999999995</v>
      </c>
      <c r="G222" s="1">
        <v>1</v>
      </c>
      <c r="H222" s="1">
        <v>0.35149999999999998</v>
      </c>
      <c r="I222" s="1">
        <v>0.43209999999999998</v>
      </c>
      <c r="K222" s="1">
        <v>-4.117647058823529</v>
      </c>
    </row>
    <row r="223" spans="1:11" ht="15.75" customHeight="1" x14ac:dyDescent="0.3">
      <c r="A223" s="1" t="s">
        <v>250</v>
      </c>
      <c r="B223" s="1" t="s">
        <v>49</v>
      </c>
      <c r="C223" s="1" t="s">
        <v>251</v>
      </c>
      <c r="D223" s="1">
        <f>SQRT((F223^2 + H223^2 + G223^2 + I223^2)/4) * (1 + 1.4* SQRT(MAX(0, K223)/100) * (C223/490) * I223 + MAX(0, 1 - C223/490))</f>
        <v>1.0039140832342124</v>
      </c>
      <c r="E223" s="1">
        <v>0</v>
      </c>
      <c r="F223" s="1">
        <v>0.97372599999999998</v>
      </c>
      <c r="G223" s="1">
        <v>0.69344600000000001</v>
      </c>
      <c r="H223" s="1">
        <v>0.35149999999999998</v>
      </c>
      <c r="I223" s="1">
        <v>0.43209999999999998</v>
      </c>
      <c r="K223" s="1">
        <v>0</v>
      </c>
    </row>
    <row r="224" spans="1:11" ht="15.75" customHeight="1" x14ac:dyDescent="0.3">
      <c r="A224" s="1" t="s">
        <v>563</v>
      </c>
      <c r="B224" s="1" t="s">
        <v>24</v>
      </c>
      <c r="C224" s="1" t="s">
        <v>564</v>
      </c>
      <c r="D224" s="1">
        <f>SQRT((F224^2 + H224^2 + G224^2 + I224^2)/4) * (1 + 1.4* SQRT(MAX(0, K224)/100) * (C224/490) * I224 + MAX(0, 1 - C224/490))</f>
        <v>0.74371695899448198</v>
      </c>
      <c r="E224" s="1">
        <v>1.529903</v>
      </c>
      <c r="F224" s="1">
        <v>0.95087200000000005</v>
      </c>
      <c r="G224" s="1">
        <v>1</v>
      </c>
      <c r="H224" s="1">
        <v>0.34870000000000001</v>
      </c>
      <c r="I224" s="1">
        <v>0.43209999999999998</v>
      </c>
      <c r="K224" s="1">
        <v>0</v>
      </c>
    </row>
    <row r="225" spans="1:11" ht="15.75" customHeight="1" x14ac:dyDescent="0.3">
      <c r="A225" s="1" t="s">
        <v>578</v>
      </c>
      <c r="B225" s="1" t="s">
        <v>24</v>
      </c>
      <c r="C225" s="1" t="s">
        <v>579</v>
      </c>
      <c r="D225" s="1">
        <f>SQRT((F225^2 + H225^2 + G225^2 + I225^2)/4) * (1 + 1.4* SQRT(MAX(0, K225)/100) * (C225/490) * I225 + MAX(0, 1 - C225/490))</f>
        <v>0.74184954848692197</v>
      </c>
      <c r="E225" s="1">
        <v>3.2855940000000001</v>
      </c>
      <c r="F225" s="1">
        <v>0.94501900000000005</v>
      </c>
      <c r="G225" s="1">
        <v>1</v>
      </c>
      <c r="H225" s="1">
        <v>0.34870000000000001</v>
      </c>
      <c r="I225" s="1">
        <v>0.43209999999999998</v>
      </c>
      <c r="K225" s="1">
        <v>0</v>
      </c>
    </row>
    <row r="226" spans="1:11" ht="15.75" customHeight="1" x14ac:dyDescent="0.3">
      <c r="A226" s="1" t="s">
        <v>368</v>
      </c>
      <c r="B226" s="1" t="s">
        <v>24</v>
      </c>
      <c r="C226" s="1" t="s">
        <v>130</v>
      </c>
      <c r="D226" s="1">
        <f>SQRT((F226^2 + H226^2 + G226^2 + I226^2)/4) * (1 + 1.4* SQRT(MAX(0, K226)/100) * (C226/490) * I226 + MAX(0, 1 - C226/490))</f>
        <v>0.88864844998014481</v>
      </c>
      <c r="E226" s="1">
        <v>0</v>
      </c>
      <c r="F226" s="1">
        <v>0.95597100000000002</v>
      </c>
      <c r="G226" s="1">
        <v>0.27160699999999999</v>
      </c>
      <c r="H226" s="1">
        <v>0.34870000000000001</v>
      </c>
      <c r="I226" s="1">
        <v>0.43209999999999998</v>
      </c>
      <c r="K226" s="1">
        <v>0</v>
      </c>
    </row>
    <row r="227" spans="1:11" ht="15.75" customHeight="1" x14ac:dyDescent="0.3">
      <c r="A227" s="1" t="s">
        <v>439</v>
      </c>
      <c r="B227" s="1" t="s">
        <v>49</v>
      </c>
      <c r="C227" s="1" t="s">
        <v>440</v>
      </c>
      <c r="D227" s="1">
        <f>SQRT((F227^2 + H227^2 + G227^2 + I227^2)/4) * (1 + 1.4* SQRT(MAX(0, K227)/100) * (C227/490) * I227 + MAX(0, 1 - C227/490))</f>
        <v>0.80404985873356538</v>
      </c>
      <c r="E227" s="1">
        <v>3.532009</v>
      </c>
      <c r="F227" s="1">
        <v>0.96195200000000003</v>
      </c>
      <c r="G227" s="1">
        <v>1</v>
      </c>
      <c r="H227" s="1">
        <v>0.35149999999999998</v>
      </c>
      <c r="I227" s="1">
        <v>0.43209999999999998</v>
      </c>
      <c r="K227" s="1">
        <v>-0.88300220750551872</v>
      </c>
    </row>
    <row r="228" spans="1:11" ht="15.75" customHeight="1" x14ac:dyDescent="0.3">
      <c r="A228" s="1" t="s">
        <v>639</v>
      </c>
      <c r="B228" s="1" t="s">
        <v>16</v>
      </c>
      <c r="C228" s="1" t="s">
        <v>640</v>
      </c>
      <c r="D228" s="1">
        <f>SQRT((F228^2 + H228^2 + G228^2 + I228^2)/4) * (1 + 1.4* SQRT(MAX(0, K228)/100) * (C228/490) * I228 + MAX(0, 1 - C228/490))</f>
        <v>0.68034342224056232</v>
      </c>
      <c r="E228" s="1">
        <v>3.7546930000000001</v>
      </c>
      <c r="F228" s="1">
        <v>0.95011000000000001</v>
      </c>
      <c r="G228" s="1">
        <v>0.79976199999999997</v>
      </c>
      <c r="H228" s="1">
        <v>0.34989999999999999</v>
      </c>
      <c r="I228" s="1">
        <v>0.43209999999999998</v>
      </c>
      <c r="K228" s="1">
        <v>-2.6282853566958697</v>
      </c>
    </row>
    <row r="229" spans="1:11" ht="15.75" customHeight="1" x14ac:dyDescent="0.3">
      <c r="A229" s="1" t="s">
        <v>183</v>
      </c>
      <c r="B229" s="1" t="s">
        <v>49</v>
      </c>
      <c r="C229" s="1" t="s">
        <v>184</v>
      </c>
      <c r="D229" s="1">
        <f>SQRT((F229^2 + H229^2 + G229^2 + I229^2)/4) * (1 + 1.4* SQRT(MAX(0, K229)/100) * (C229/490) * I229 + MAX(0, 1 - C229/490))</f>
        <v>1.0809119550612052</v>
      </c>
      <c r="E229" s="1">
        <v>4.0590409999999997</v>
      </c>
      <c r="F229" s="1">
        <v>0.96019500000000002</v>
      </c>
      <c r="G229" s="1">
        <v>1</v>
      </c>
      <c r="H229" s="1">
        <v>0.35149999999999998</v>
      </c>
      <c r="I229" s="1">
        <v>0.43209999999999998</v>
      </c>
      <c r="K229" s="1">
        <v>-5.1660516605166054</v>
      </c>
    </row>
    <row r="230" spans="1:11" ht="15.75" customHeight="1" x14ac:dyDescent="0.3">
      <c r="A230" s="1" t="s">
        <v>290</v>
      </c>
      <c r="B230" s="1" t="s">
        <v>12</v>
      </c>
      <c r="C230" s="1" t="s">
        <v>291</v>
      </c>
      <c r="D230" s="1">
        <f>SQRT((F230^2 + H230^2 + G230^2 + I230^2)/4) * (1 + 1.4* SQRT(MAX(0, K230)/100) * (C230/490) * I230 + MAX(0, 1 - C230/490))</f>
        <v>0.94981958939287126</v>
      </c>
      <c r="E230" s="1">
        <v>3.34728</v>
      </c>
      <c r="F230" s="1">
        <v>0.96851399999999999</v>
      </c>
      <c r="G230" s="1">
        <v>1</v>
      </c>
      <c r="H230" s="1">
        <v>0.33129999999999998</v>
      </c>
      <c r="I230" s="1">
        <v>0.46929999999999999</v>
      </c>
      <c r="J230" s="1" t="s">
        <v>14</v>
      </c>
      <c r="K230" s="1">
        <v>7.3919107391910739</v>
      </c>
    </row>
    <row r="231" spans="1:11" ht="15.75" customHeight="1" x14ac:dyDescent="0.3">
      <c r="A231" s="1" t="s">
        <v>354</v>
      </c>
      <c r="B231" s="1" t="s">
        <v>111</v>
      </c>
      <c r="C231" s="1" t="s">
        <v>355</v>
      </c>
      <c r="D231" s="1">
        <f>SQRT((F231^2 + H231^2 + G231^2 + I231^2)/4) * (1 + 1.4* SQRT(MAX(0, K231)/100) * (C231/490) * I231 + MAX(0, 1 - C231/490))</f>
        <v>0.90510193119368221</v>
      </c>
      <c r="E231" s="1">
        <v>3.4782609999999998</v>
      </c>
      <c r="F231" s="1">
        <v>0.96571600000000002</v>
      </c>
      <c r="G231" s="1">
        <v>1</v>
      </c>
      <c r="H231" s="1">
        <v>0.3322</v>
      </c>
      <c r="I231" s="1">
        <v>0.23019999999999999</v>
      </c>
      <c r="J231" s="1" t="s">
        <v>112</v>
      </c>
      <c r="K231" s="1">
        <v>30.434782608695652</v>
      </c>
    </row>
    <row r="232" spans="1:11" ht="15.75" customHeight="1" x14ac:dyDescent="0.3">
      <c r="A232" s="1" t="s">
        <v>547</v>
      </c>
      <c r="B232" s="1" t="s">
        <v>16</v>
      </c>
      <c r="C232" s="1" t="s">
        <v>548</v>
      </c>
      <c r="D232" s="1">
        <f>SQRT((F232^2 + H232^2 + G232^2 + I232^2)/4) * (1 + 1.4* SQRT(MAX(0, K232)/100) * (C232/490) * I232 + MAX(0, 1 - C232/490))</f>
        <v>0.74586002132186302</v>
      </c>
      <c r="E232" s="1">
        <v>1.6501650000000001</v>
      </c>
      <c r="F232" s="1">
        <v>0.957125</v>
      </c>
      <c r="G232" s="1">
        <v>1</v>
      </c>
      <c r="H232" s="1">
        <v>0.34989999999999999</v>
      </c>
      <c r="I232" s="1">
        <v>0.43209999999999998</v>
      </c>
      <c r="K232" s="1">
        <v>-4.6204620462046204</v>
      </c>
    </row>
    <row r="233" spans="1:11" ht="15.75" customHeight="1" x14ac:dyDescent="0.3">
      <c r="A233" s="1" t="s">
        <v>402</v>
      </c>
      <c r="B233" s="1" t="s">
        <v>21</v>
      </c>
      <c r="C233" s="1" t="s">
        <v>403</v>
      </c>
      <c r="D233" s="1">
        <f>SQRT((F233^2 + H233^2 + G233^2 + I233^2)/4) * (1 + 1.4* SQRT(MAX(0, K233)/100) * (C233/490) * I233 + MAX(0, 1 - C233/490))</f>
        <v>0.84821642971246136</v>
      </c>
      <c r="E233" s="1">
        <v>0</v>
      </c>
      <c r="F233" s="1">
        <v>0.96971799999999997</v>
      </c>
      <c r="G233" s="1">
        <v>0.69344600000000001</v>
      </c>
      <c r="H233" s="1">
        <v>0.3493</v>
      </c>
      <c r="I233" s="1">
        <v>0.43209999999999998</v>
      </c>
      <c r="K233" s="1">
        <v>0</v>
      </c>
    </row>
    <row r="234" spans="1:11" ht="15.75" customHeight="1" x14ac:dyDescent="0.3">
      <c r="A234" s="1" t="s">
        <v>131</v>
      </c>
      <c r="B234" s="1" t="s">
        <v>12</v>
      </c>
      <c r="C234" s="1" t="s">
        <v>132</v>
      </c>
      <c r="D234" s="1">
        <f>SQRT((F234^2 + H234^2 + G234^2 + I234^2)/4) * (1 + 1.4* SQRT(MAX(0, K234)/100) * (C234/490) * I234 + MAX(0, 1 - C234/490))</f>
        <v>1.1584216684650221</v>
      </c>
      <c r="E234" s="1">
        <v>9.0909089999999999</v>
      </c>
      <c r="F234" s="1">
        <v>0.94936799999999999</v>
      </c>
      <c r="G234" s="1">
        <v>1</v>
      </c>
      <c r="H234" s="1">
        <v>0.33129999999999998</v>
      </c>
      <c r="I234" s="1">
        <v>0.46929999999999999</v>
      </c>
      <c r="J234" s="1" t="s">
        <v>14</v>
      </c>
      <c r="K234" s="1">
        <v>-2.7272727272727271</v>
      </c>
    </row>
    <row r="235" spans="1:11" ht="15.75" customHeight="1" x14ac:dyDescent="0.3">
      <c r="A235" s="1" t="s">
        <v>67</v>
      </c>
      <c r="B235" s="1" t="s">
        <v>49</v>
      </c>
      <c r="C235" s="1" t="s">
        <v>68</v>
      </c>
      <c r="D235" s="1">
        <f>SQRT((F235^2 + H235^2 + G235^2 + I235^2)/4) * (1 + 1.4* SQRT(MAX(0, K235)/100) * (C235/490) * I235 + MAX(0, 1 - C235/490))</f>
        <v>1.2594794188553642</v>
      </c>
      <c r="E235" s="1">
        <v>17.391304000000002</v>
      </c>
      <c r="F235" s="1">
        <v>0.91575499999999999</v>
      </c>
      <c r="G235" s="1">
        <v>1</v>
      </c>
      <c r="H235" s="1">
        <v>0.35149999999999998</v>
      </c>
      <c r="I235" s="1">
        <v>0.43209999999999998</v>
      </c>
      <c r="K235" s="1">
        <v>-4.1551246537396125</v>
      </c>
    </row>
    <row r="236" spans="1:11" ht="15.75" customHeight="1" x14ac:dyDescent="0.3">
      <c r="A236" s="1" t="s">
        <v>490</v>
      </c>
      <c r="B236" s="1" t="s">
        <v>12</v>
      </c>
      <c r="C236" s="1" t="s">
        <v>491</v>
      </c>
      <c r="D236" s="1">
        <f>SQRT((F236^2 + H236^2 + G236^2 + I236^2)/4) * (1 + 1.4* SQRT(MAX(0, K236)/100) * (C236/490) * I236 + MAX(0, 1 - C236/490))</f>
        <v>0.75405430660016126</v>
      </c>
      <c r="E236" s="1">
        <v>2.3622049999999999</v>
      </c>
      <c r="F236" s="1">
        <v>0.97179700000000002</v>
      </c>
      <c r="G236" s="1">
        <v>1</v>
      </c>
      <c r="H236" s="1">
        <v>0.33129999999999998</v>
      </c>
      <c r="I236" s="1">
        <v>0.46929999999999999</v>
      </c>
      <c r="J236" s="1" t="s">
        <v>14</v>
      </c>
      <c r="K236" s="1">
        <v>-1.7716535433070866</v>
      </c>
    </row>
    <row r="237" spans="1:11" ht="15.75" customHeight="1" x14ac:dyDescent="0.3">
      <c r="A237" s="1" t="s">
        <v>332</v>
      </c>
      <c r="B237" s="1" t="s">
        <v>49</v>
      </c>
      <c r="C237" s="1" t="s">
        <v>333</v>
      </c>
      <c r="D237" s="1">
        <f>SQRT((F237^2 + H237^2 + G237^2 + I237^2)/4) * (1 + 1.4* SQRT(MAX(0, K237)/100) * (C237/490) * I237 + MAX(0, 1 - C237/490))</f>
        <v>0.91873323079159386</v>
      </c>
      <c r="E237" s="1">
        <v>5.7142860000000004</v>
      </c>
      <c r="F237" s="1">
        <v>0.95467800000000003</v>
      </c>
      <c r="G237" s="1">
        <v>0.1711</v>
      </c>
      <c r="H237" s="1">
        <v>0.35149999999999998</v>
      </c>
      <c r="I237" s="1">
        <v>0.43209999999999998</v>
      </c>
      <c r="K237" s="1">
        <v>-4.1551246537396125</v>
      </c>
    </row>
    <row r="238" spans="1:11" ht="15.75" customHeight="1" x14ac:dyDescent="0.3">
      <c r="A238" s="1" t="s">
        <v>373</v>
      </c>
      <c r="B238" s="1" t="s">
        <v>16</v>
      </c>
      <c r="C238" s="1" t="s">
        <v>374</v>
      </c>
      <c r="D238" s="1">
        <f>SQRT((F238^2 + H238^2 + G238^2 + I238^2)/4) * (1 + 1.4* SQRT(MAX(0, K238)/100) * (C238/490) * I238 + MAX(0, 1 - C238/490))</f>
        <v>0.88292546979474951</v>
      </c>
      <c r="E238" s="1">
        <v>2.6666669999999999</v>
      </c>
      <c r="F238" s="1">
        <v>0.95373699999999995</v>
      </c>
      <c r="G238" s="1">
        <v>1</v>
      </c>
      <c r="H238" s="1">
        <v>0.34989999999999999</v>
      </c>
      <c r="I238" s="1">
        <v>0.43209999999999998</v>
      </c>
      <c r="K238" s="1">
        <v>8.1904761904761898</v>
      </c>
    </row>
    <row r="239" spans="1:11" ht="15.75" customHeight="1" x14ac:dyDescent="0.3">
      <c r="A239" s="1" t="s">
        <v>554</v>
      </c>
      <c r="B239" s="1" t="s">
        <v>21</v>
      </c>
      <c r="C239" s="1" t="s">
        <v>555</v>
      </c>
      <c r="D239" s="1">
        <f>SQRT((F239^2 + H239^2 + G239^2 + I239^2)/4) * (1 + 1.4* SQRT(MAX(0, K239)/100) * (C239/490) * I239 + MAX(0, 1 - C239/490))</f>
        <v>0.74540259637393269</v>
      </c>
      <c r="E239" s="1">
        <v>4.1401269999999997</v>
      </c>
      <c r="F239" s="1">
        <v>0.95591800000000005</v>
      </c>
      <c r="G239" s="1">
        <v>1</v>
      </c>
      <c r="H239" s="1">
        <v>0.3493</v>
      </c>
      <c r="I239" s="1">
        <v>0.43209999999999998</v>
      </c>
      <c r="K239" s="1">
        <v>-5.0955414012738851</v>
      </c>
    </row>
    <row r="240" spans="1:11" ht="15.75" customHeight="1" x14ac:dyDescent="0.3">
      <c r="A240" s="1" t="s">
        <v>338</v>
      </c>
      <c r="B240" s="1" t="s">
        <v>49</v>
      </c>
      <c r="C240" s="1" t="s">
        <v>339</v>
      </c>
      <c r="D240" s="1">
        <f>SQRT((F240^2 + H240^2 + G240^2 + I240^2)/4) * (1 + 1.4* SQRT(MAX(0, K240)/100) * (C240/490) * I240 + MAX(0, 1 - C240/490))</f>
        <v>0.9155107796950136</v>
      </c>
      <c r="E240" s="1">
        <v>1.3998250000000001</v>
      </c>
      <c r="F240" s="1">
        <v>0.969059</v>
      </c>
      <c r="G240" s="1">
        <v>1</v>
      </c>
      <c r="H240" s="1">
        <v>0.35149999999999998</v>
      </c>
      <c r="I240" s="1">
        <v>0.43209999999999998</v>
      </c>
      <c r="K240" s="1">
        <v>2.4496937882764653</v>
      </c>
    </row>
    <row r="241" spans="1:11" ht="15.75" customHeight="1" x14ac:dyDescent="0.3">
      <c r="A241" s="1" t="s">
        <v>556</v>
      </c>
      <c r="B241" s="1" t="s">
        <v>16</v>
      </c>
      <c r="C241" s="1" t="s">
        <v>557</v>
      </c>
      <c r="D241" s="1">
        <f>SQRT((F241^2 + H241^2 + G241^2 + I241^2)/4) * (1 + 1.4* SQRT(MAX(0, K241)/100) * (C241/490) * I241 + MAX(0, 1 - C241/490))</f>
        <v>0.74506373198555975</v>
      </c>
      <c r="E241" s="1">
        <v>2.3952100000000001</v>
      </c>
      <c r="F241" s="1">
        <v>0.95464099999999996</v>
      </c>
      <c r="G241" s="1">
        <v>1</v>
      </c>
      <c r="H241" s="1">
        <v>0.34989999999999999</v>
      </c>
      <c r="I241" s="1">
        <v>0.43209999999999998</v>
      </c>
      <c r="K241" s="1">
        <v>-3.9520958083832336</v>
      </c>
    </row>
    <row r="242" spans="1:11" ht="15.75" customHeight="1" x14ac:dyDescent="0.3">
      <c r="A242" s="1" t="s">
        <v>404</v>
      </c>
      <c r="B242" s="1" t="s">
        <v>49</v>
      </c>
      <c r="C242" s="1" t="s">
        <v>241</v>
      </c>
      <c r="D242" s="1">
        <f>SQRT((F242^2 + H242^2 + G242^2 + I242^2)/4) * (1 + 1.4* SQRT(MAX(0, K242)/100) * (C242/490) * I242 + MAX(0, 1 - C242/490))</f>
        <v>0.84587013044289583</v>
      </c>
      <c r="E242" s="1">
        <v>1.916933</v>
      </c>
      <c r="F242" s="1">
        <v>0.96733599999999997</v>
      </c>
      <c r="G242" s="1">
        <v>0.54641499999999998</v>
      </c>
      <c r="H242" s="1">
        <v>0.35149999999999998</v>
      </c>
      <c r="I242" s="1">
        <v>0.43209999999999998</v>
      </c>
      <c r="K242" s="1">
        <v>-1.9169329073482428</v>
      </c>
    </row>
    <row r="243" spans="1:11" ht="15.75" customHeight="1" x14ac:dyDescent="0.3">
      <c r="A243" s="1" t="s">
        <v>139</v>
      </c>
      <c r="B243" s="1" t="s">
        <v>16</v>
      </c>
      <c r="C243" s="1" t="s">
        <v>140</v>
      </c>
      <c r="D243" s="1">
        <f>SQRT((F243^2 + H243^2 + G243^2 + I243^2)/4) * (1 + 1.4* SQRT(MAX(0, K243)/100) * (C243/490) * I243 + MAX(0, 1 - C243/490))</f>
        <v>1.1446686383056399</v>
      </c>
      <c r="E243" s="1">
        <v>6.2780269999999998</v>
      </c>
      <c r="F243" s="1">
        <v>0.94169899999999995</v>
      </c>
      <c r="G243" s="1">
        <v>1</v>
      </c>
      <c r="H243" s="1">
        <v>0.34989999999999999</v>
      </c>
      <c r="I243" s="1">
        <v>0.43209999999999998</v>
      </c>
      <c r="K243" s="1">
        <v>-4.9327354260089686</v>
      </c>
    </row>
    <row r="244" spans="1:11" ht="15.75" customHeight="1" x14ac:dyDescent="0.3">
      <c r="A244" s="1" t="s">
        <v>558</v>
      </c>
      <c r="B244" s="1" t="s">
        <v>16</v>
      </c>
      <c r="C244" s="1" t="s">
        <v>528</v>
      </c>
      <c r="D244" s="1">
        <f>SQRT((F244^2 + H244^2 + G244^2 + I244^2)/4) * (1 + 1.4* SQRT(MAX(0, K244)/100) * (C244/490) * I244 + MAX(0, 1 - C244/490))</f>
        <v>0.74500351495966111</v>
      </c>
      <c r="E244" s="1">
        <v>2.4518390000000001</v>
      </c>
      <c r="F244" s="1">
        <v>0.954453</v>
      </c>
      <c r="G244" s="1">
        <v>1</v>
      </c>
      <c r="H244" s="1">
        <v>0.34989999999999999</v>
      </c>
      <c r="I244" s="1">
        <v>0.43209999999999998</v>
      </c>
      <c r="K244" s="1">
        <v>-4.5534150612959721</v>
      </c>
    </row>
    <row r="245" spans="1:11" ht="15.75" customHeight="1" x14ac:dyDescent="0.3">
      <c r="A245" s="1" t="s">
        <v>708</v>
      </c>
      <c r="B245" s="1" t="s">
        <v>12</v>
      </c>
      <c r="C245" s="1" t="s">
        <v>709</v>
      </c>
      <c r="D245" s="1">
        <f>SQRT((F245^2 + H245^2 + G245^2 + I245^2)/4) * (1 + 1.4* SQRT(MAX(0, K245)/100) * (C245/490) * I245 + MAX(0, 1 - C245/490))</f>
        <v>0.63767269302727581</v>
      </c>
      <c r="E245" s="1">
        <v>4.1198499999999996</v>
      </c>
      <c r="F245" s="1">
        <v>0.96593899999999999</v>
      </c>
      <c r="G245" s="1">
        <v>0.34807199999999999</v>
      </c>
      <c r="H245" s="1">
        <v>0.33129999999999998</v>
      </c>
      <c r="I245" s="1">
        <v>0.46929999999999999</v>
      </c>
      <c r="J245" s="1" t="s">
        <v>14</v>
      </c>
      <c r="K245" s="1">
        <v>0.61168529846024045</v>
      </c>
    </row>
    <row r="246" spans="1:11" ht="15.75" customHeight="1" x14ac:dyDescent="0.3">
      <c r="A246" s="1" t="s">
        <v>519</v>
      </c>
      <c r="B246" s="1" t="s">
        <v>21</v>
      </c>
      <c r="C246" s="1" t="s">
        <v>520</v>
      </c>
      <c r="D246" s="1">
        <f>SQRT((F246^2 + H246^2 + G246^2 + I246^2)/4) * (1 + 1.4* SQRT(MAX(0, K246)/100) * (C246/490) * I246 + MAX(0, 1 - C246/490))</f>
        <v>0.74806974852883867</v>
      </c>
      <c r="E246" s="1">
        <v>1.6506190000000001</v>
      </c>
      <c r="F246" s="1">
        <v>0.96421599999999996</v>
      </c>
      <c r="G246" s="1">
        <v>1</v>
      </c>
      <c r="H246" s="1">
        <v>0.3493</v>
      </c>
      <c r="I246" s="1">
        <v>0.43209999999999998</v>
      </c>
      <c r="K246" s="1">
        <v>0</v>
      </c>
    </row>
    <row r="247" spans="1:11" ht="15.75" customHeight="1" x14ac:dyDescent="0.3">
      <c r="A247" s="1" t="s">
        <v>148</v>
      </c>
      <c r="B247" s="1" t="s">
        <v>45</v>
      </c>
      <c r="C247" s="1" t="s">
        <v>149</v>
      </c>
      <c r="D247" s="1">
        <f>SQRT((F247^2 + H247^2 + G247^2 + I247^2)/4) * (1 + 1.4* SQRT(MAX(0, K247)/100) * (C247/490) * I247 + MAX(0, 1 - C247/490))</f>
        <v>1.1362776810973254</v>
      </c>
      <c r="E247" s="1">
        <v>6.1855669999999998</v>
      </c>
      <c r="F247" s="1">
        <v>0.921288</v>
      </c>
      <c r="G247" s="1">
        <v>1</v>
      </c>
      <c r="H247" s="1">
        <v>0.35520000000000002</v>
      </c>
      <c r="I247" s="1">
        <v>0.59689999999999999</v>
      </c>
      <c r="J247" s="1" t="s">
        <v>47</v>
      </c>
      <c r="K247" s="1">
        <v>2.7491408934707904</v>
      </c>
    </row>
    <row r="248" spans="1:11" ht="15.75" customHeight="1" x14ac:dyDescent="0.3">
      <c r="A248" s="1" t="s">
        <v>52</v>
      </c>
      <c r="B248" s="1" t="s">
        <v>45</v>
      </c>
      <c r="C248" s="1" t="s">
        <v>53</v>
      </c>
      <c r="D248" s="1">
        <f>SQRT((F248^2 + H248^2 + G248^2 + I248^2)/4) * (1 + 1.4* SQRT(MAX(0, K248)/100) * (C248/490) * I248 + MAX(0, 1 - C248/490))</f>
        <v>1.2992592575325119</v>
      </c>
      <c r="E248" s="1">
        <v>0</v>
      </c>
      <c r="F248" s="1">
        <v>0.94190700000000005</v>
      </c>
      <c r="G248" s="1">
        <v>0.69344600000000001</v>
      </c>
      <c r="H248" s="1">
        <v>0.35520000000000002</v>
      </c>
      <c r="I248" s="1">
        <v>0.59689999999999999</v>
      </c>
      <c r="J248" s="1" t="s">
        <v>47</v>
      </c>
      <c r="K248" s="1">
        <v>0</v>
      </c>
    </row>
    <row r="249" spans="1:11" ht="15.75" customHeight="1" x14ac:dyDescent="0.3">
      <c r="A249" s="1" t="s">
        <v>177</v>
      </c>
      <c r="B249" s="1" t="s">
        <v>24</v>
      </c>
      <c r="C249" s="1" t="s">
        <v>178</v>
      </c>
      <c r="D249" s="1">
        <f>SQRT((F249^2 + H249^2 + G249^2 + I249^2)/4) * (1 + 1.4* SQRT(MAX(0, K249)/100) * (C249/490) * I249 + MAX(0, 1 - C249/490))</f>
        <v>1.0879518653774589</v>
      </c>
      <c r="E249" s="1">
        <v>0</v>
      </c>
      <c r="F249" s="1">
        <v>0.95597100000000002</v>
      </c>
      <c r="G249" s="1">
        <v>0.69344600000000001</v>
      </c>
      <c r="H249" s="1">
        <v>0.34870000000000001</v>
      </c>
      <c r="I249" s="1">
        <v>0.43209999999999998</v>
      </c>
      <c r="K249" s="1">
        <v>0</v>
      </c>
    </row>
    <row r="250" spans="1:11" ht="15.75" customHeight="1" x14ac:dyDescent="0.3">
      <c r="A250" s="1" t="s">
        <v>552</v>
      </c>
      <c r="B250" s="1" t="s">
        <v>21</v>
      </c>
      <c r="C250" s="1" t="s">
        <v>553</v>
      </c>
      <c r="D250" s="1">
        <f>SQRT((F250^2 + H250^2 + G250^2 + I250^2)/4) * (1 + 1.4* SQRT(MAX(0, K250)/100) * (C250/490) * I250 + MAX(0, 1 - C250/490))</f>
        <v>0.74553374017025542</v>
      </c>
      <c r="E250" s="1">
        <v>4.0172169999999996</v>
      </c>
      <c r="F250" s="1">
        <v>0.95632700000000004</v>
      </c>
      <c r="G250" s="1">
        <v>1</v>
      </c>
      <c r="H250" s="1">
        <v>0.3493</v>
      </c>
      <c r="I250" s="1">
        <v>0.43209999999999998</v>
      </c>
      <c r="K250" s="1">
        <v>-1.0043041606886658</v>
      </c>
    </row>
    <row r="251" spans="1:11" ht="15.75" customHeight="1" x14ac:dyDescent="0.3">
      <c r="A251" s="1" t="s">
        <v>163</v>
      </c>
      <c r="B251" s="1" t="s">
        <v>24</v>
      </c>
      <c r="C251" s="1" t="s">
        <v>164</v>
      </c>
      <c r="D251" s="1">
        <f>SQRT((F251^2 + H251^2 + G251^2 + I251^2)/4) * (1 + 1.4* SQRT(MAX(0, K251)/100) * (C251/490) * I251 + MAX(0, 1 - C251/490))</f>
        <v>1.1023515583729828</v>
      </c>
      <c r="E251" s="1">
        <v>3.1746029999999998</v>
      </c>
      <c r="F251" s="1">
        <v>0.94538900000000003</v>
      </c>
      <c r="G251" s="1">
        <v>1</v>
      </c>
      <c r="H251" s="1">
        <v>0.34870000000000001</v>
      </c>
      <c r="I251" s="1">
        <v>0.43209999999999998</v>
      </c>
      <c r="K251" s="1">
        <v>-3.9682539682539684</v>
      </c>
    </row>
    <row r="252" spans="1:11" ht="15.75" customHeight="1" x14ac:dyDescent="0.3">
      <c r="A252" s="1" t="s">
        <v>389</v>
      </c>
      <c r="B252" s="1" t="s">
        <v>49</v>
      </c>
      <c r="C252" s="1" t="s">
        <v>384</v>
      </c>
      <c r="D252" s="1">
        <f>SQRT((F252^2 + H252^2 + G252^2 + I252^2)/4) * (1 + 1.4* SQRT(MAX(0, K252)/100) * (C252/490) * I252 + MAX(0, 1 - C252/490))</f>
        <v>0.86584197534476171</v>
      </c>
      <c r="E252" s="1">
        <v>7.8239609999999997</v>
      </c>
      <c r="F252" s="1">
        <v>0.94764599999999999</v>
      </c>
      <c r="G252" s="1">
        <v>1</v>
      </c>
      <c r="H252" s="1">
        <v>0.35149999999999998</v>
      </c>
      <c r="I252" s="1">
        <v>0.43209999999999998</v>
      </c>
      <c r="K252" s="1">
        <v>-4.1551246537396125</v>
      </c>
    </row>
    <row r="253" spans="1:11" ht="15.75" customHeight="1" x14ac:dyDescent="0.3">
      <c r="A253" s="1" t="s">
        <v>468</v>
      </c>
      <c r="B253" s="1" t="s">
        <v>24</v>
      </c>
      <c r="C253" s="1" t="s">
        <v>469</v>
      </c>
      <c r="D253" s="1">
        <f>SQRT((F253^2 + H253^2 + G253^2 + I253^2)/4) * (1 + 1.4* SQRT(MAX(0, K253)/100) * (C253/490) * I253 + MAX(0, 1 - C253/490))</f>
        <v>0.77473261711753727</v>
      </c>
      <c r="E253" s="1">
        <v>3.1347960000000001</v>
      </c>
      <c r="F253" s="1">
        <v>0.94552199999999997</v>
      </c>
      <c r="G253" s="1">
        <v>1</v>
      </c>
      <c r="H253" s="1">
        <v>0.34870000000000001</v>
      </c>
      <c r="I253" s="1">
        <v>0.43209999999999998</v>
      </c>
      <c r="K253" s="1">
        <v>0.31347962382445144</v>
      </c>
    </row>
    <row r="254" spans="1:11" ht="15.75" customHeight="1" x14ac:dyDescent="0.3">
      <c r="A254" s="1" t="s">
        <v>356</v>
      </c>
      <c r="B254" s="1" t="s">
        <v>49</v>
      </c>
      <c r="C254" s="1" t="s">
        <v>216</v>
      </c>
      <c r="D254" s="1">
        <f>SQRT((F254^2 + H254^2 + G254^2 + I254^2)/4) * (1 + 1.4* SQRT(MAX(0, K254)/100) * (C254/490) * I254 + MAX(0, 1 - C254/490))</f>
        <v>0.89955205341151867</v>
      </c>
      <c r="E254" s="1">
        <v>0</v>
      </c>
      <c r="F254" s="1">
        <v>0.97372599999999998</v>
      </c>
      <c r="G254" s="1">
        <v>0.62690599999999996</v>
      </c>
      <c r="H254" s="1">
        <v>0.35149999999999998</v>
      </c>
      <c r="I254" s="1">
        <v>0.43209999999999998</v>
      </c>
      <c r="K254" s="1">
        <v>0</v>
      </c>
    </row>
    <row r="255" spans="1:11" ht="15.75" customHeight="1" x14ac:dyDescent="0.3">
      <c r="A255" s="1" t="s">
        <v>274</v>
      </c>
      <c r="B255" s="1" t="s">
        <v>24</v>
      </c>
      <c r="C255" s="1" t="s">
        <v>275</v>
      </c>
      <c r="D255" s="1">
        <f>SQRT((F255^2 + H255^2 + G255^2 + I255^2)/4) * (1 + 1.4* SQRT(MAX(0, K255)/100) * (C255/490) * I255 + MAX(0, 1 - C255/490))</f>
        <v>0.96955431991474939</v>
      </c>
      <c r="E255" s="1">
        <v>4.0920719999999999</v>
      </c>
      <c r="F255" s="1">
        <v>0.94233100000000003</v>
      </c>
      <c r="G255" s="1">
        <v>1</v>
      </c>
      <c r="H255" s="1">
        <v>0.34870000000000001</v>
      </c>
      <c r="I255" s="1">
        <v>0.43209999999999998</v>
      </c>
      <c r="K255" s="1">
        <v>4.859335038363171</v>
      </c>
    </row>
    <row r="256" spans="1:11" ht="15.75" customHeight="1" x14ac:dyDescent="0.3">
      <c r="A256" s="1" t="s">
        <v>268</v>
      </c>
      <c r="B256" s="1" t="s">
        <v>49</v>
      </c>
      <c r="C256" s="1" t="s">
        <v>269</v>
      </c>
      <c r="D256" s="1">
        <f>SQRT((F256^2 + H256^2 + G256^2 + I256^2)/4) * (1 + 1.4* SQRT(MAX(0, K256)/100) * (C256/490) * I256 + MAX(0, 1 - C256/490))</f>
        <v>0.97945769749905942</v>
      </c>
      <c r="E256" s="1">
        <v>7.6335879999999996</v>
      </c>
      <c r="F256" s="1">
        <v>0.94828000000000001</v>
      </c>
      <c r="G256" s="1">
        <v>1</v>
      </c>
      <c r="H256" s="1">
        <v>0.35149999999999998</v>
      </c>
      <c r="I256" s="1">
        <v>0.43209999999999998</v>
      </c>
      <c r="K256" s="1">
        <v>6.106870229007634</v>
      </c>
    </row>
    <row r="257" spans="1:11" ht="15.75" customHeight="1" x14ac:dyDescent="0.3">
      <c r="A257" s="1" t="s">
        <v>240</v>
      </c>
      <c r="B257" s="1" t="s">
        <v>49</v>
      </c>
      <c r="C257" s="1" t="s">
        <v>241</v>
      </c>
      <c r="D257" s="1">
        <f>SQRT((F257^2 + H257^2 + G257^2 + I257^2)/4) * (1 + 1.4* SQRT(MAX(0, K257)/100) * (C257/490) * I257 + MAX(0, 1 - C257/490))</f>
        <v>1.0181417868211218</v>
      </c>
      <c r="E257" s="1">
        <v>3.1948880000000002</v>
      </c>
      <c r="F257" s="1">
        <v>0.96307600000000004</v>
      </c>
      <c r="G257" s="1">
        <v>1</v>
      </c>
      <c r="H257" s="1">
        <v>0.35149999999999998</v>
      </c>
      <c r="I257" s="1">
        <v>0.43209999999999998</v>
      </c>
      <c r="K257" s="1">
        <v>-2.2364217252396168</v>
      </c>
    </row>
    <row r="258" spans="1:11" ht="15.75" customHeight="1" x14ac:dyDescent="0.3">
      <c r="A258" s="1" t="s">
        <v>488</v>
      </c>
      <c r="B258" s="1" t="s">
        <v>12</v>
      </c>
      <c r="C258" s="1" t="s">
        <v>489</v>
      </c>
      <c r="D258" s="1">
        <f>SQRT((F258^2 + H258^2 + G258^2 + I258^2)/4) * (1 + 1.4* SQRT(MAX(0, K258)/100) * (C258/490) * I258 + MAX(0, 1 - C258/490))</f>
        <v>0.7545033061723454</v>
      </c>
      <c r="E258" s="1">
        <v>1.9444440000000001</v>
      </c>
      <c r="F258" s="1">
        <v>0.97319</v>
      </c>
      <c r="G258" s="1">
        <v>1</v>
      </c>
      <c r="H258" s="1">
        <v>0.33129999999999998</v>
      </c>
      <c r="I258" s="1">
        <v>0.46929999999999999</v>
      </c>
      <c r="J258" s="1" t="s">
        <v>14</v>
      </c>
      <c r="K258" s="1">
        <v>-1.6666666666666667</v>
      </c>
    </row>
    <row r="259" spans="1:11" ht="15.75" customHeight="1" x14ac:dyDescent="0.3">
      <c r="A259" s="1" t="s">
        <v>506</v>
      </c>
      <c r="B259" s="1" t="s">
        <v>49</v>
      </c>
      <c r="C259" s="1" t="s">
        <v>507</v>
      </c>
      <c r="D259" s="1">
        <f>SQRT((F259^2 + H259^2 + G259^2 + I259^2)/4) * (1 + 1.4* SQRT(MAX(0, K259)/100) * (C259/490) * I259 + MAX(0, 1 - C259/490))</f>
        <v>0.74983377174477805</v>
      </c>
      <c r="E259" s="1">
        <v>1.4518</v>
      </c>
      <c r="F259" s="1">
        <v>0.96888600000000002</v>
      </c>
      <c r="G259" s="1">
        <v>1</v>
      </c>
      <c r="H259" s="1">
        <v>0.35149999999999998</v>
      </c>
      <c r="I259" s="1">
        <v>0.43209999999999998</v>
      </c>
      <c r="K259" s="1">
        <v>0</v>
      </c>
    </row>
    <row r="260" spans="1:11" ht="15.75" customHeight="1" x14ac:dyDescent="0.3">
      <c r="A260" s="1" t="s">
        <v>370</v>
      </c>
      <c r="B260" s="1" t="s">
        <v>16</v>
      </c>
      <c r="C260" s="1" t="s">
        <v>371</v>
      </c>
      <c r="D260" s="1">
        <f>SQRT((F260^2 + H260^2 + G260^2 + I260^2)/4) * (1 + 1.4* SQRT(MAX(0, K260)/100) * (C260/490) * I260 + MAX(0, 1 - C260/490))</f>
        <v>0.8871950038920986</v>
      </c>
      <c r="E260" s="1">
        <v>0</v>
      </c>
      <c r="F260" s="1">
        <v>0.96262599999999998</v>
      </c>
      <c r="G260" s="1">
        <v>1</v>
      </c>
      <c r="H260" s="1">
        <v>0.34989999999999999</v>
      </c>
      <c r="I260" s="1">
        <v>0.43209999999999998</v>
      </c>
      <c r="K260" s="1">
        <v>0.7142857142857143</v>
      </c>
    </row>
    <row r="261" spans="1:11" ht="15.75" customHeight="1" x14ac:dyDescent="0.3">
      <c r="A261" s="1" t="s">
        <v>278</v>
      </c>
      <c r="B261" s="1" t="s">
        <v>12</v>
      </c>
      <c r="C261" s="1" t="s">
        <v>279</v>
      </c>
      <c r="D261" s="1">
        <f>SQRT((F261^2 + H261^2 + G261^2 + I261^2)/4) * (1 + 1.4* SQRT(MAX(0, K261)/100) * (C261/490) * I261 + MAX(0, 1 - C261/490))</f>
        <v>0.96493509490797447</v>
      </c>
      <c r="E261" s="1">
        <v>2.3809520000000002</v>
      </c>
      <c r="F261" s="1">
        <v>0.97173500000000002</v>
      </c>
      <c r="G261" s="1">
        <v>1</v>
      </c>
      <c r="H261" s="1">
        <v>0.33129999999999998</v>
      </c>
      <c r="I261" s="1">
        <v>0.46929999999999999</v>
      </c>
      <c r="J261" s="1" t="s">
        <v>14</v>
      </c>
      <c r="K261" s="1">
        <v>12.585034013605442</v>
      </c>
    </row>
    <row r="262" spans="1:11" ht="15.75" customHeight="1" x14ac:dyDescent="0.3">
      <c r="A262" s="1" t="s">
        <v>542</v>
      </c>
      <c r="B262" s="1" t="s">
        <v>21</v>
      </c>
      <c r="C262" s="1" t="s">
        <v>505</v>
      </c>
      <c r="D262" s="1">
        <f>SQRT((F262^2 + H262^2 + G262^2 + I262^2)/4) * (1 + 1.4* SQRT(MAX(0, K262)/100) * (C262/490) * I262 + MAX(0, 1 - C262/490))</f>
        <v>0.74607758518869871</v>
      </c>
      <c r="E262" s="1">
        <v>3.508772</v>
      </c>
      <c r="F262" s="1">
        <v>0.95802200000000004</v>
      </c>
      <c r="G262" s="1">
        <v>1</v>
      </c>
      <c r="H262" s="1">
        <v>0.3493</v>
      </c>
      <c r="I262" s="1">
        <v>0.43209999999999998</v>
      </c>
      <c r="K262" s="1">
        <v>-0.38986354775828458</v>
      </c>
    </row>
    <row r="263" spans="1:11" ht="15.75" customHeight="1" x14ac:dyDescent="0.3">
      <c r="A263" s="1" t="s">
        <v>48</v>
      </c>
      <c r="B263" s="1" t="s">
        <v>49</v>
      </c>
      <c r="C263" s="1" t="s">
        <v>41</v>
      </c>
      <c r="D263" s="1">
        <f>SQRT((F263^2 + H263^2 + G263^2 + I263^2)/4) * (1 + 1.4* SQRT(MAX(0, K263)/100) * (C263/490) * I263 + MAX(0, 1 - C263/490))</f>
        <v>1.3081075685120707</v>
      </c>
      <c r="E263" s="1">
        <v>16.981131999999999</v>
      </c>
      <c r="F263" s="1">
        <v>0.91712199999999999</v>
      </c>
      <c r="G263" s="1">
        <v>1</v>
      </c>
      <c r="H263" s="1">
        <v>0.35149999999999998</v>
      </c>
      <c r="I263" s="1">
        <v>0.43209999999999998</v>
      </c>
      <c r="K263" s="1">
        <v>-1.0997643362136684</v>
      </c>
    </row>
    <row r="264" spans="1:11" ht="15.75" customHeight="1" x14ac:dyDescent="0.3">
      <c r="A264" s="1" t="s">
        <v>405</v>
      </c>
      <c r="B264" s="1" t="s">
        <v>49</v>
      </c>
      <c r="C264" s="1" t="s">
        <v>406</v>
      </c>
      <c r="D264" s="1">
        <f>SQRT((F264^2 + H264^2 + G264^2 + I264^2)/4) * (1 + 1.4* SQRT(MAX(0, K264)/100) * (C264/490) * I264 + MAX(0, 1 - C264/490))</f>
        <v>0.84482470018865763</v>
      </c>
      <c r="E264" s="1">
        <v>5.8928570000000002</v>
      </c>
      <c r="F264" s="1">
        <v>0.95408300000000001</v>
      </c>
      <c r="G264" s="1">
        <v>1</v>
      </c>
      <c r="H264" s="1">
        <v>0.35149999999999998</v>
      </c>
      <c r="I264" s="1">
        <v>0.43209999999999998</v>
      </c>
      <c r="K264" s="1">
        <v>3.75</v>
      </c>
    </row>
    <row r="265" spans="1:11" ht="15.75" customHeight="1" x14ac:dyDescent="0.3">
      <c r="A265" s="1" t="s">
        <v>426</v>
      </c>
      <c r="B265" s="1" t="s">
        <v>49</v>
      </c>
      <c r="C265" s="1" t="s">
        <v>427</v>
      </c>
      <c r="D265" s="1">
        <f>SQRT((F265^2 + H265^2 + G265^2 + I265^2)/4) * (1 + 1.4* SQRT(MAX(0, K265)/100) * (C265/490) * I265 + MAX(0, 1 - C265/490))</f>
        <v>0.83067332267739036</v>
      </c>
      <c r="E265" s="1">
        <v>1.2658229999999999</v>
      </c>
      <c r="F265" s="1">
        <v>0.96950599999999998</v>
      </c>
      <c r="G265" s="1">
        <v>1</v>
      </c>
      <c r="H265" s="1">
        <v>0.35149999999999998</v>
      </c>
      <c r="I265" s="1">
        <v>0.43209999999999998</v>
      </c>
      <c r="K265" s="1">
        <v>0.84388185654008441</v>
      </c>
    </row>
    <row r="266" spans="1:11" ht="15.75" customHeight="1" x14ac:dyDescent="0.3">
      <c r="A266" s="1" t="s">
        <v>77</v>
      </c>
      <c r="B266" s="1" t="s">
        <v>49</v>
      </c>
      <c r="C266" s="1" t="s">
        <v>78</v>
      </c>
      <c r="D266" s="1">
        <f>SQRT((F266^2 + H266^2 + G266^2 + I266^2)/4) * (1 + 1.4* SQRT(MAX(0, K266)/100) * (C266/490) * I266 + MAX(0, 1 - C266/490))</f>
        <v>1.2339371995575861</v>
      </c>
      <c r="E266" s="1">
        <v>9.7560979999999997</v>
      </c>
      <c r="F266" s="1">
        <v>0.94120499999999996</v>
      </c>
      <c r="G266" s="1">
        <v>1</v>
      </c>
      <c r="H266" s="1">
        <v>0.35149999999999998</v>
      </c>
      <c r="I266" s="1">
        <v>0.43209999999999998</v>
      </c>
      <c r="K266" s="1">
        <v>-0.6097560975609756</v>
      </c>
    </row>
    <row r="267" spans="1:11" ht="15.75" customHeight="1" x14ac:dyDescent="0.3">
      <c r="A267" s="1" t="s">
        <v>244</v>
      </c>
      <c r="B267" s="1" t="s">
        <v>49</v>
      </c>
      <c r="C267" s="1" t="s">
        <v>245</v>
      </c>
      <c r="D267" s="1">
        <f>SQRT((F267^2 + H267^2 + G267^2 + I267^2)/4) * (1 + 1.4* SQRT(MAX(0, K267)/100) * (C267/490) * I267 + MAX(0, 1 - C267/490))</f>
        <v>1.016144769741945</v>
      </c>
      <c r="E267" s="1">
        <v>1.722788</v>
      </c>
      <c r="F267" s="1">
        <v>0.96798300000000004</v>
      </c>
      <c r="G267" s="1">
        <v>1</v>
      </c>
      <c r="H267" s="1">
        <v>0.35149999999999998</v>
      </c>
      <c r="I267" s="1">
        <v>0.43209999999999998</v>
      </c>
      <c r="K267" s="1">
        <v>5.0900548159749412</v>
      </c>
    </row>
    <row r="268" spans="1:11" ht="15.75" customHeight="1" x14ac:dyDescent="0.3">
      <c r="A268" s="1" t="s">
        <v>443</v>
      </c>
      <c r="B268" s="1" t="s">
        <v>49</v>
      </c>
      <c r="C268" s="1" t="s">
        <v>319</v>
      </c>
      <c r="D268" s="1">
        <f>SQRT((F268^2 + H268^2 + G268^2 + I268^2)/4) * (1 + 1.4* SQRT(MAX(0, K268)/100) * (C268/490) * I268 + MAX(0, 1 - C268/490))</f>
        <v>0.80352517413239766</v>
      </c>
      <c r="E268" s="1">
        <v>5.3097349999999999</v>
      </c>
      <c r="F268" s="1">
        <v>0.95602600000000004</v>
      </c>
      <c r="G268" s="1">
        <v>1</v>
      </c>
      <c r="H268" s="1">
        <v>0.35149999999999998</v>
      </c>
      <c r="I268" s="1">
        <v>0.43209999999999998</v>
      </c>
      <c r="K268" s="1">
        <v>-1.0997643362136684</v>
      </c>
    </row>
    <row r="269" spans="1:11" ht="15.75" customHeight="1" x14ac:dyDescent="0.3">
      <c r="A269" s="1" t="s">
        <v>584</v>
      </c>
      <c r="B269" s="1" t="s">
        <v>24</v>
      </c>
      <c r="C269" s="1" t="s">
        <v>585</v>
      </c>
      <c r="D269" s="1">
        <f>SQRT((F269^2 + H269^2 + G269^2 + I269^2)/4) * (1 + 1.4* SQRT(MAX(0, K269)/100) * (C269/490) * I269 + MAX(0, 1 - C269/490))</f>
        <v>0.74151463186659372</v>
      </c>
      <c r="E269" s="1">
        <v>3.6014409999999999</v>
      </c>
      <c r="F269" s="1">
        <v>0.943967</v>
      </c>
      <c r="G269" s="1">
        <v>1</v>
      </c>
      <c r="H269" s="1">
        <v>0.34870000000000001</v>
      </c>
      <c r="I269" s="1">
        <v>0.43209999999999998</v>
      </c>
      <c r="K269" s="1">
        <v>-1.6206482593037215</v>
      </c>
    </row>
    <row r="270" spans="1:11" ht="15.75" customHeight="1" x14ac:dyDescent="0.3">
      <c r="A270" s="1" t="s">
        <v>508</v>
      </c>
      <c r="B270" s="1" t="s">
        <v>49</v>
      </c>
      <c r="C270" s="1" t="s">
        <v>509</v>
      </c>
      <c r="D270" s="1">
        <f>SQRT((F270^2 + H270^2 + G270^2 + I270^2)/4) * (1 + 1.4* SQRT(MAX(0, K270)/100) * (C270/490) * I270 + MAX(0, 1 - C270/490))</f>
        <v>0.74932652582585779</v>
      </c>
      <c r="E270" s="1">
        <v>1.9230769999999999</v>
      </c>
      <c r="F270" s="1">
        <v>0.96731500000000004</v>
      </c>
      <c r="G270" s="1">
        <v>1</v>
      </c>
      <c r="H270" s="1">
        <v>0.35149999999999998</v>
      </c>
      <c r="I270" s="1">
        <v>0.43209999999999998</v>
      </c>
      <c r="K270" s="1">
        <v>-4.2582417582417582</v>
      </c>
    </row>
    <row r="271" spans="1:11" ht="15.75" customHeight="1" x14ac:dyDescent="0.3">
      <c r="A271" s="1" t="s">
        <v>880</v>
      </c>
      <c r="B271" s="1" t="s">
        <v>16</v>
      </c>
      <c r="C271" s="1" t="s">
        <v>881</v>
      </c>
      <c r="D271" s="1">
        <f>SQRT((F271^2 + H271^2 + G271^2 + I271^2)/4) * (1 + 1.4* SQRT(MAX(0, K271)/100) * (C271/490) * I271 + MAX(0, 1 - C271/490))</f>
        <v>0.52972398709139079</v>
      </c>
      <c r="E271" s="1">
        <v>3.252033</v>
      </c>
      <c r="G271" s="1">
        <v>1</v>
      </c>
      <c r="H271" s="1">
        <v>0.34989999999999999</v>
      </c>
      <c r="K271" s="1">
        <v>-8.1300813008130088</v>
      </c>
    </row>
    <row r="272" spans="1:11" ht="15.75" customHeight="1" x14ac:dyDescent="0.3">
      <c r="A272" s="1" t="s">
        <v>561</v>
      </c>
      <c r="B272" s="1" t="s">
        <v>16</v>
      </c>
      <c r="C272" s="1" t="s">
        <v>562</v>
      </c>
      <c r="D272" s="1">
        <f>SQRT((F272^2 + H272^2 + G272^2 + I272^2)/4) * (1 + 1.4* SQRT(MAX(0, K272)/100) * (C272/490) * I272 + MAX(0, 1 - C272/490))</f>
        <v>0.74382876557057809</v>
      </c>
      <c r="E272" s="1">
        <v>3.553299</v>
      </c>
      <c r="F272" s="1">
        <v>0.95078099999999999</v>
      </c>
      <c r="G272" s="1">
        <v>1</v>
      </c>
      <c r="H272" s="1">
        <v>0.34989999999999999</v>
      </c>
      <c r="I272" s="1">
        <v>0.43209999999999998</v>
      </c>
      <c r="K272" s="1">
        <v>-2.6649746192893402</v>
      </c>
    </row>
    <row r="273" spans="1:11" ht="15.75" customHeight="1" x14ac:dyDescent="0.3">
      <c r="A273" s="1" t="s">
        <v>144</v>
      </c>
      <c r="B273" s="1" t="s">
        <v>16</v>
      </c>
      <c r="C273" s="1" t="s">
        <v>145</v>
      </c>
      <c r="D273" s="1">
        <f>SQRT((F273^2 + H273^2 + G273^2 + I273^2)/4) * (1 + 1.4* SQRT(MAX(0, K273)/100) * (C273/490) * I273 + MAX(0, 1 - C273/490))</f>
        <v>1.1417188559933655</v>
      </c>
      <c r="E273" s="1">
        <v>9.0090090000000007</v>
      </c>
      <c r="F273" s="1">
        <v>0.93259499999999995</v>
      </c>
      <c r="G273" s="1">
        <v>1</v>
      </c>
      <c r="H273" s="1">
        <v>0.34989999999999999</v>
      </c>
      <c r="I273" s="1">
        <v>0.43209999999999998</v>
      </c>
      <c r="K273" s="1">
        <v>-4.0540540540540544</v>
      </c>
    </row>
    <row r="274" spans="1:11" ht="15.75" customHeight="1" x14ac:dyDescent="0.3">
      <c r="A274" s="1" t="s">
        <v>262</v>
      </c>
      <c r="B274" s="1" t="s">
        <v>49</v>
      </c>
      <c r="C274" s="1" t="s">
        <v>263</v>
      </c>
      <c r="D274" s="1">
        <f>SQRT((F274^2 + H274^2 + G274^2 + I274^2)/4) * (1 + 1.4* SQRT(MAX(0, K274)/100) * (C274/490) * I274 + MAX(0, 1 - C274/490))</f>
        <v>0.99129817464282199</v>
      </c>
      <c r="E274" s="1">
        <v>0.60060100000000005</v>
      </c>
      <c r="F274" s="1">
        <v>0.97172400000000003</v>
      </c>
      <c r="G274" s="1">
        <v>1</v>
      </c>
      <c r="H274" s="1">
        <v>0.35149999999999998</v>
      </c>
      <c r="I274" s="1">
        <v>0.43209999999999998</v>
      </c>
      <c r="K274" s="1">
        <v>-3.0030030030030028</v>
      </c>
    </row>
    <row r="275" spans="1:11" ht="15.75" customHeight="1" x14ac:dyDescent="0.3">
      <c r="A275" s="1" t="s">
        <v>175</v>
      </c>
      <c r="B275" s="1" t="s">
        <v>21</v>
      </c>
      <c r="C275" s="1" t="s">
        <v>176</v>
      </c>
      <c r="D275" s="1">
        <f>SQRT((F275^2 + H275^2 + G275^2 + I275^2)/4) * (1 + 1.4* SQRT(MAX(0, K275)/100) * (C275/490) * I275 + MAX(0, 1 - C275/490))</f>
        <v>1.0897970584280359</v>
      </c>
      <c r="E275" s="1">
        <v>0</v>
      </c>
      <c r="F275" s="1">
        <v>0.96971799999999997</v>
      </c>
      <c r="G275" s="1">
        <v>0.69344600000000001</v>
      </c>
      <c r="H275" s="1">
        <v>0.3493</v>
      </c>
      <c r="I275" s="1">
        <v>0.43209999999999998</v>
      </c>
      <c r="K275" s="1">
        <v>0</v>
      </c>
    </row>
    <row r="276" spans="1:11" ht="15.75" customHeight="1" x14ac:dyDescent="0.3">
      <c r="A276" s="1" t="s">
        <v>56</v>
      </c>
      <c r="B276" s="1" t="s">
        <v>36</v>
      </c>
      <c r="C276" s="1" t="s">
        <v>57</v>
      </c>
      <c r="D276" s="1">
        <f>SQRT((F276^2 + H276^2 + G276^2 + I276^2)/4) * (1 + 1.4* SQRT(MAX(0, K276)/100) * (C276/490) * I276 + MAX(0, 1 - C276/490))</f>
        <v>1.2933346673726074</v>
      </c>
      <c r="E276" s="1">
        <v>1.785714</v>
      </c>
      <c r="F276" s="1">
        <v>0.90948899999999999</v>
      </c>
      <c r="G276" s="1">
        <v>1</v>
      </c>
      <c r="H276" s="1">
        <v>0.36220000000000002</v>
      </c>
      <c r="I276" s="1">
        <v>0.43209999999999998</v>
      </c>
      <c r="K276" s="1">
        <v>65.178571428571431</v>
      </c>
    </row>
    <row r="277" spans="1:11" ht="15.75" customHeight="1" x14ac:dyDescent="0.3">
      <c r="A277" s="1" t="s">
        <v>441</v>
      </c>
      <c r="B277" s="1" t="s">
        <v>36</v>
      </c>
      <c r="C277" s="1" t="s">
        <v>442</v>
      </c>
      <c r="D277" s="1">
        <f>SQRT((F277^2 + H277^2 + G277^2 + I277^2)/4) * (1 + 1.4* SQRT(MAX(0, K277)/100) * (C277/490) * I277 + MAX(0, 1 - C277/490))</f>
        <v>0.80381725499408041</v>
      </c>
      <c r="E277" s="1">
        <v>5.9225510000000003</v>
      </c>
      <c r="F277" s="1">
        <v>0.89570000000000005</v>
      </c>
      <c r="G277" s="1">
        <v>1</v>
      </c>
      <c r="H277" s="1">
        <v>0.36220000000000002</v>
      </c>
      <c r="I277" s="1">
        <v>0.43209999999999998</v>
      </c>
      <c r="K277" s="1">
        <v>-1.1389521640091116</v>
      </c>
    </row>
    <row r="278" spans="1:11" ht="15.75" customHeight="1" x14ac:dyDescent="0.3">
      <c r="A278" s="1" t="s">
        <v>159</v>
      </c>
      <c r="B278" s="1" t="s">
        <v>16</v>
      </c>
      <c r="C278" s="1" t="s">
        <v>160</v>
      </c>
      <c r="D278" s="1">
        <f>SQRT((F278^2 + H278^2 + G278^2 + I278^2)/4) * (1 + 1.4* SQRT(MAX(0, K278)/100) * (C278/490) * I278 + MAX(0, 1 - C278/490))</f>
        <v>1.1035893836847535</v>
      </c>
      <c r="E278" s="1">
        <v>0.917431</v>
      </c>
      <c r="F278" s="1">
        <v>0.95956699999999995</v>
      </c>
      <c r="G278" s="1">
        <v>0.885745</v>
      </c>
      <c r="H278" s="1">
        <v>0.34989999999999999</v>
      </c>
      <c r="I278" s="1">
        <v>0.43209999999999998</v>
      </c>
      <c r="K278" s="1">
        <v>0</v>
      </c>
    </row>
    <row r="279" spans="1:11" ht="15.75" customHeight="1" x14ac:dyDescent="0.3">
      <c r="A279" s="1" t="s">
        <v>430</v>
      </c>
      <c r="B279" s="1" t="s">
        <v>16</v>
      </c>
      <c r="C279" s="1" t="s">
        <v>331</v>
      </c>
      <c r="D279" s="1">
        <f>SQRT((F279^2 + H279^2 + G279^2 + I279^2)/4) * (1 + 1.4* SQRT(MAX(0, K279)/100) * (C279/490) * I279 + MAX(0, 1 - C279/490))</f>
        <v>0.81853301133901646</v>
      </c>
      <c r="E279" s="1">
        <v>0</v>
      </c>
      <c r="F279" s="1">
        <v>0.96262599999999998</v>
      </c>
      <c r="G279" s="1">
        <v>0.39985999999999999</v>
      </c>
      <c r="H279" s="1">
        <v>0.34989999999999999</v>
      </c>
      <c r="I279" s="1">
        <v>0.43209999999999998</v>
      </c>
      <c r="K279" s="1">
        <v>0</v>
      </c>
    </row>
    <row r="280" spans="1:11" ht="15.75" customHeight="1" x14ac:dyDescent="0.3">
      <c r="A280" s="1" t="s">
        <v>736</v>
      </c>
      <c r="B280" s="1" t="s">
        <v>21</v>
      </c>
      <c r="C280" s="1" t="s">
        <v>737</v>
      </c>
      <c r="D280" s="1">
        <f>SQRT((F280^2 + H280^2 + G280^2 + I280^2)/4) * (1 + 1.4* SQRT(MAX(0, K280)/100) * (C280/490) * I280 + MAX(0, 1 - C280/490))</f>
        <v>0.62474736593854419</v>
      </c>
      <c r="E280" s="1">
        <v>3.080308</v>
      </c>
      <c r="F280" s="1">
        <v>0.95945000000000003</v>
      </c>
      <c r="G280" s="1">
        <v>0.31925500000000001</v>
      </c>
      <c r="H280" s="1">
        <v>0.3493</v>
      </c>
      <c r="I280" s="1">
        <v>0.43209999999999998</v>
      </c>
      <c r="K280" s="1">
        <v>0.54655475307437051</v>
      </c>
    </row>
    <row r="281" spans="1:11" ht="15.75" customHeight="1" x14ac:dyDescent="0.3">
      <c r="A281" s="1" t="s">
        <v>168</v>
      </c>
      <c r="B281" s="1" t="s">
        <v>16</v>
      </c>
      <c r="C281" s="1" t="s">
        <v>128</v>
      </c>
      <c r="D281" s="1">
        <f>SQRT((F281^2 + H281^2 + G281^2 + I281^2)/4) * (1 + 1.4* SQRT(MAX(0, K281)/100) * (C281/490) * I281 + MAX(0, 1 - C281/490))</f>
        <v>1.095219124646976</v>
      </c>
      <c r="E281" s="1">
        <v>3.088803</v>
      </c>
      <c r="F281" s="1">
        <v>0.95232899999999998</v>
      </c>
      <c r="G281" s="1">
        <v>1</v>
      </c>
      <c r="H281" s="1">
        <v>0.34989999999999999</v>
      </c>
      <c r="I281" s="1">
        <v>0.43209999999999998</v>
      </c>
      <c r="K281" s="1">
        <v>0</v>
      </c>
    </row>
    <row r="282" spans="1:11" ht="15.75" customHeight="1" x14ac:dyDescent="0.3">
      <c r="A282" s="1" t="s">
        <v>480</v>
      </c>
      <c r="B282" s="1" t="s">
        <v>49</v>
      </c>
      <c r="C282" s="1" t="s">
        <v>481</v>
      </c>
      <c r="D282" s="1">
        <f>SQRT((F282^2 + H282^2 + G282^2 + I282^2)/4) * (1 + 1.4* SQRT(MAX(0, K282)/100) * (C282/490) * I282 + MAX(0, 1 - C282/490))</f>
        <v>0.76102454706051026</v>
      </c>
      <c r="E282" s="1">
        <v>5.2083329999999997</v>
      </c>
      <c r="F282" s="1">
        <v>0.95636399999999999</v>
      </c>
      <c r="G282" s="1">
        <v>1</v>
      </c>
      <c r="H282" s="1">
        <v>0.35149999999999998</v>
      </c>
      <c r="I282" s="1">
        <v>0.43209999999999998</v>
      </c>
      <c r="K282" s="1">
        <v>-3.125</v>
      </c>
    </row>
    <row r="283" spans="1:11" ht="15.75" customHeight="1" x14ac:dyDescent="0.3">
      <c r="A283" s="1" t="s">
        <v>157</v>
      </c>
      <c r="B283" s="1" t="s">
        <v>49</v>
      </c>
      <c r="C283" s="1" t="s">
        <v>158</v>
      </c>
      <c r="D283" s="1">
        <f>SQRT((F283^2 + H283^2 + G283^2 + I283^2)/4) * (1 + 1.4* SQRT(MAX(0, K283)/100) * (C283/490) * I283 + MAX(0, 1 - C283/490))</f>
        <v>1.1070249072947638</v>
      </c>
      <c r="E283" s="1">
        <v>2.616517</v>
      </c>
      <c r="F283" s="1">
        <v>0.96500399999999997</v>
      </c>
      <c r="G283" s="1">
        <v>1</v>
      </c>
      <c r="H283" s="1">
        <v>0.35149999999999998</v>
      </c>
      <c r="I283" s="1">
        <v>0.43209999999999998</v>
      </c>
      <c r="K283" s="1">
        <v>10.057236304170074</v>
      </c>
    </row>
    <row r="284" spans="1:11" ht="15.75" customHeight="1" x14ac:dyDescent="0.3">
      <c r="A284" s="1" t="s">
        <v>541</v>
      </c>
      <c r="B284" s="1" t="s">
        <v>49</v>
      </c>
      <c r="C284" s="1" t="s">
        <v>423</v>
      </c>
      <c r="D284" s="1">
        <f>SQRT((F284^2 + H284^2 + G284^2 + I284^2)/4) * (1 + 1.4* SQRT(MAX(0, K284)/100) * (C284/490) * I284 + MAX(0, 1 - C284/490))</f>
        <v>0.74613550399928918</v>
      </c>
      <c r="E284" s="1">
        <v>4.2056069999999997</v>
      </c>
      <c r="F284" s="1">
        <v>0.95970699999999998</v>
      </c>
      <c r="G284" s="1">
        <v>0.72348199999999996</v>
      </c>
      <c r="H284" s="1">
        <v>0.35149999999999998</v>
      </c>
      <c r="I284" s="1">
        <v>0.43209999999999998</v>
      </c>
      <c r="K284" s="1">
        <v>-4.6849757673667209</v>
      </c>
    </row>
    <row r="285" spans="1:11" ht="15.75" customHeight="1" x14ac:dyDescent="0.3">
      <c r="A285" s="1" t="s">
        <v>104</v>
      </c>
      <c r="B285" s="1" t="s">
        <v>49</v>
      </c>
      <c r="C285" s="1" t="s">
        <v>105</v>
      </c>
      <c r="D285" s="1">
        <f>SQRT((F285^2 + H285^2 + G285^2 + I285^2)/4) * (1 + 1.4* SQRT(MAX(0, K285)/100) * (C285/490) * I285 + MAX(0, 1 - C285/490))</f>
        <v>1.2062724761369059</v>
      </c>
      <c r="E285" s="1">
        <v>2.0942409999999998</v>
      </c>
      <c r="F285" s="1">
        <v>0.96674499999999997</v>
      </c>
      <c r="G285" s="1">
        <v>1</v>
      </c>
      <c r="H285" s="1">
        <v>0.35149999999999998</v>
      </c>
      <c r="I285" s="1">
        <v>0.43209999999999998</v>
      </c>
      <c r="K285" s="1">
        <v>-4.6849757673667209</v>
      </c>
    </row>
    <row r="286" spans="1:11" ht="15.75" customHeight="1" x14ac:dyDescent="0.3">
      <c r="A286" s="1" t="s">
        <v>656</v>
      </c>
      <c r="B286" s="1" t="s">
        <v>36</v>
      </c>
      <c r="C286" s="1" t="s">
        <v>657</v>
      </c>
      <c r="D286" s="1">
        <f>SQRT((F286^2 + H286^2 + G286^2 + I286^2)/4) * (1 + 1.4* SQRT(MAX(0, K286)/100) * (C286/490) * I286 + MAX(0, 1 - C286/490))</f>
        <v>0.66191294262252964</v>
      </c>
      <c r="E286" s="1">
        <v>0.898204</v>
      </c>
      <c r="F286" s="1">
        <v>0.91244700000000001</v>
      </c>
      <c r="G286" s="1">
        <v>0.694998</v>
      </c>
      <c r="H286" s="1">
        <v>0.36220000000000002</v>
      </c>
      <c r="I286" s="1">
        <v>0.43209999999999998</v>
      </c>
      <c r="K286" s="1">
        <v>0.18839103869653767</v>
      </c>
    </row>
    <row r="287" spans="1:11" ht="15.75" customHeight="1" x14ac:dyDescent="0.3">
      <c r="A287" s="1" t="s">
        <v>869</v>
      </c>
      <c r="B287" s="1" t="s">
        <v>49</v>
      </c>
      <c r="C287" s="1" t="s">
        <v>870</v>
      </c>
      <c r="D287" s="1">
        <f>SQRT((F287^2 + H287^2 + G287^2 + I287^2)/4) * (1 + 1.4* SQRT(MAX(0, K287)/100) * (C287/490) * I287 + MAX(0, 1 - C287/490))</f>
        <v>0.56150654466466365</v>
      </c>
      <c r="E287" s="1">
        <v>0</v>
      </c>
      <c r="F287" s="1">
        <v>0.97372599999999998</v>
      </c>
      <c r="G287" s="1">
        <v>5.2472999999999999E-2</v>
      </c>
      <c r="H287" s="1">
        <v>0.35149999999999998</v>
      </c>
      <c r="I287" s="1">
        <v>0.43209999999999998</v>
      </c>
      <c r="K287" s="1">
        <v>0</v>
      </c>
    </row>
    <row r="288" spans="1:11" ht="15.75" customHeight="1" x14ac:dyDescent="0.3">
      <c r="A288" s="1" t="s">
        <v>496</v>
      </c>
      <c r="B288" s="1" t="s">
        <v>111</v>
      </c>
      <c r="C288" s="1" t="s">
        <v>497</v>
      </c>
      <c r="D288" s="1">
        <f>SQRT((F288^2 + H288^2 + G288^2 + I288^2)/4) * (1 + 1.4* SQRT(MAX(0, K288)/100) * (C288/490) * I288 + MAX(0, 1 - C288/490))</f>
        <v>0.75357787517063957</v>
      </c>
      <c r="E288" s="1">
        <v>4.0268459999999999</v>
      </c>
      <c r="F288" s="1">
        <v>0.96388799999999997</v>
      </c>
      <c r="G288" s="1">
        <v>8.2059000000000007E-2</v>
      </c>
      <c r="H288" s="1">
        <v>0.3322</v>
      </c>
      <c r="I288" s="1">
        <v>0.23019999999999999</v>
      </c>
      <c r="J288" s="1" t="s">
        <v>112</v>
      </c>
      <c r="K288" s="1">
        <v>5.443037974683544</v>
      </c>
    </row>
    <row r="289" spans="1:11" ht="15.75" customHeight="1" x14ac:dyDescent="0.3">
      <c r="A289" s="1" t="s">
        <v>435</v>
      </c>
      <c r="B289" s="1" t="s">
        <v>49</v>
      </c>
      <c r="C289" s="1" t="s">
        <v>436</v>
      </c>
      <c r="D289" s="1">
        <f>SQRT((F289^2 + H289^2 + G289^2 + I289^2)/4) * (1 + 1.4* SQRT(MAX(0, K289)/100) * (C289/490) * I289 + MAX(0, 1 - C289/490))</f>
        <v>0.81074141193522109</v>
      </c>
      <c r="E289" s="1">
        <v>1.301115</v>
      </c>
      <c r="F289" s="1">
        <v>0.96938899999999995</v>
      </c>
      <c r="G289" s="1">
        <v>1</v>
      </c>
      <c r="H289" s="1">
        <v>0.35149999999999998</v>
      </c>
      <c r="I289" s="1">
        <v>0.43209999999999998</v>
      </c>
      <c r="K289" s="1">
        <v>1.486988847583643</v>
      </c>
    </row>
    <row r="290" spans="1:11" ht="15.75" customHeight="1" x14ac:dyDescent="0.3">
      <c r="A290" s="1" t="s">
        <v>110</v>
      </c>
      <c r="B290" s="1" t="s">
        <v>111</v>
      </c>
      <c r="C290" s="1" t="s">
        <v>103</v>
      </c>
      <c r="D290" s="1">
        <f>SQRT((F290^2 + H290^2 + G290^2 + I290^2)/4) * (1 + 1.4* SQRT(MAX(0, K290)/100) * (C290/490) * I290 + MAX(0, 1 - C290/490))</f>
        <v>1.1997844108575879</v>
      </c>
      <c r="E290" s="1">
        <v>5.9701490000000002</v>
      </c>
      <c r="F290" s="1">
        <v>0.95740999999999998</v>
      </c>
      <c r="G290" s="1">
        <v>1</v>
      </c>
      <c r="H290" s="1">
        <v>0.3322</v>
      </c>
      <c r="I290" s="1">
        <v>0.23019999999999999</v>
      </c>
      <c r="J290" s="1" t="s">
        <v>112</v>
      </c>
      <c r="K290" s="1">
        <v>31.343283582089551</v>
      </c>
    </row>
    <row r="291" spans="1:11" ht="15.75" customHeight="1" x14ac:dyDescent="0.3">
      <c r="A291" s="1" t="s">
        <v>588</v>
      </c>
      <c r="B291" s="1" t="s">
        <v>24</v>
      </c>
      <c r="C291" s="1" t="s">
        <v>589</v>
      </c>
      <c r="D291" s="1">
        <f>SQRT((F291^2 + H291^2 + G291^2 + I291^2)/4) * (1 + 1.4* SQRT(MAX(0, K291)/100) * (C291/490) * I291 + MAX(0, 1 - C291/490))</f>
        <v>0.74116880573861177</v>
      </c>
      <c r="E291" s="1">
        <v>3.927492</v>
      </c>
      <c r="F291" s="1">
        <v>0.94288000000000005</v>
      </c>
      <c r="G291" s="1">
        <v>1</v>
      </c>
      <c r="H291" s="1">
        <v>0.34870000000000001</v>
      </c>
      <c r="I291" s="1">
        <v>0.43209999999999998</v>
      </c>
      <c r="K291" s="1">
        <v>-1.8126888217522659</v>
      </c>
    </row>
    <row r="292" spans="1:11" ht="15.75" customHeight="1" x14ac:dyDescent="0.3">
      <c r="A292" s="1" t="s">
        <v>191</v>
      </c>
      <c r="B292" s="1" t="s">
        <v>49</v>
      </c>
      <c r="C292" s="1" t="s">
        <v>192</v>
      </c>
      <c r="D292" s="1">
        <f>SQRT((F292^2 + H292^2 + G292^2 + I292^2)/4) * (1 + 1.4* SQRT(MAX(0, K292)/100) * (C292/490) * I292 + MAX(0, 1 - C292/490))</f>
        <v>1.0749961310551652</v>
      </c>
      <c r="E292" s="1">
        <v>5.7306590000000002</v>
      </c>
      <c r="F292" s="1">
        <v>0.954623</v>
      </c>
      <c r="G292" s="1">
        <v>1</v>
      </c>
      <c r="H292" s="1">
        <v>0.35149999999999998</v>
      </c>
      <c r="I292" s="1">
        <v>0.43209999999999998</v>
      </c>
      <c r="K292" s="1">
        <v>12.893982808022923</v>
      </c>
    </row>
    <row r="293" spans="1:11" ht="15.75" customHeight="1" x14ac:dyDescent="0.3">
      <c r="A293" s="1" t="s">
        <v>127</v>
      </c>
      <c r="B293" s="1" t="s">
        <v>36</v>
      </c>
      <c r="C293" s="1" t="s">
        <v>128</v>
      </c>
      <c r="D293" s="1">
        <f>SQRT((F293^2 + H293^2 + G293^2 + I293^2)/4) * (1 + 1.4* SQRT(MAX(0, K293)/100) * (C293/490) * I293 + MAX(0, 1 - C293/490))</f>
        <v>1.1637977251259615</v>
      </c>
      <c r="E293" s="1">
        <v>7.3359069999999997</v>
      </c>
      <c r="F293" s="1">
        <v>0.890988</v>
      </c>
      <c r="G293" s="1">
        <v>1</v>
      </c>
      <c r="H293" s="1">
        <v>0.36220000000000002</v>
      </c>
      <c r="I293" s="1">
        <v>0.43209999999999998</v>
      </c>
      <c r="K293" s="1">
        <v>16.602316602316602</v>
      </c>
    </row>
    <row r="294" spans="1:11" ht="15.75" customHeight="1" x14ac:dyDescent="0.3">
      <c r="A294" s="1" t="s">
        <v>767</v>
      </c>
      <c r="B294" s="1" t="s">
        <v>12</v>
      </c>
      <c r="C294" s="1" t="s">
        <v>768</v>
      </c>
      <c r="D294" s="1">
        <f>SQRT((F294^2 + H294^2 + G294^2 + I294^2)/4) * (1 + 1.4* SQRT(MAX(0, K294)/100) * (C294/490) * I294 + MAX(0, 1 - C294/490))</f>
        <v>0.61435777802067415</v>
      </c>
      <c r="E294" s="1">
        <v>0.31152600000000003</v>
      </c>
      <c r="F294" s="1">
        <v>0.97863299999999998</v>
      </c>
      <c r="G294" s="1">
        <v>0.47118700000000002</v>
      </c>
      <c r="H294" s="1">
        <v>0.33129999999999998</v>
      </c>
      <c r="I294" s="1">
        <v>0.46929999999999999</v>
      </c>
      <c r="J294" s="1" t="s">
        <v>14</v>
      </c>
      <c r="K294" s="1">
        <v>0</v>
      </c>
    </row>
    <row r="295" spans="1:11" ht="15.75" customHeight="1" x14ac:dyDescent="0.3">
      <c r="A295" s="1" t="s">
        <v>462</v>
      </c>
      <c r="B295" s="1" t="s">
        <v>12</v>
      </c>
      <c r="C295" s="1" t="s">
        <v>463</v>
      </c>
      <c r="D295" s="1">
        <f>SQRT((F295^2 + H295^2 + G295^2 + I295^2)/4) * (1 + 1.4* SQRT(MAX(0, K295)/100) * (C295/490) * I295 + MAX(0, 1 - C295/490))</f>
        <v>0.78259327091492259</v>
      </c>
      <c r="E295" s="1">
        <v>0.56657199999999996</v>
      </c>
      <c r="F295" s="1">
        <v>0.97778299999999996</v>
      </c>
      <c r="G295" s="1">
        <v>0.45840700000000001</v>
      </c>
      <c r="H295" s="1">
        <v>0.33129999999999998</v>
      </c>
      <c r="I295" s="1">
        <v>0.46929999999999999</v>
      </c>
      <c r="J295" s="1" t="s">
        <v>14</v>
      </c>
      <c r="K295" s="1">
        <v>-0.21595356998245377</v>
      </c>
    </row>
    <row r="296" spans="1:11" ht="15.75" customHeight="1" x14ac:dyDescent="0.3">
      <c r="A296" s="1" t="s">
        <v>486</v>
      </c>
      <c r="B296" s="1" t="s">
        <v>12</v>
      </c>
      <c r="C296" s="1" t="s">
        <v>487</v>
      </c>
      <c r="D296" s="1">
        <f>SQRT((F296^2 + H296^2 + G296^2 + I296^2)/4) * (1 + 1.4* SQRT(MAX(0, K296)/100) * (C296/490) * I296 + MAX(0, 1 - C296/490))</f>
        <v>0.75478488789339837</v>
      </c>
      <c r="E296" s="1">
        <v>1.6826920000000001</v>
      </c>
      <c r="F296" s="1">
        <v>0.97406300000000001</v>
      </c>
      <c r="G296" s="1">
        <v>1</v>
      </c>
      <c r="H296" s="1">
        <v>0.33129999999999998</v>
      </c>
      <c r="I296" s="1">
        <v>0.46929999999999999</v>
      </c>
      <c r="J296" s="1" t="s">
        <v>14</v>
      </c>
      <c r="K296" s="1">
        <v>-2.2836538461538463</v>
      </c>
    </row>
    <row r="297" spans="1:11" ht="15.75" customHeight="1" x14ac:dyDescent="0.3">
      <c r="A297" s="1" t="s">
        <v>330</v>
      </c>
      <c r="B297" s="1" t="s">
        <v>45</v>
      </c>
      <c r="C297" s="1" t="s">
        <v>331</v>
      </c>
      <c r="D297" s="1">
        <f>SQRT((F297^2 + H297^2 + G297^2 + I297^2)/4) * (1 + 1.4* SQRT(MAX(0, K297)/100) * (C297/490) * I297 + MAX(0, 1 - C297/490))</f>
        <v>0.91977402944769626</v>
      </c>
      <c r="E297" s="1">
        <v>11.295681</v>
      </c>
      <c r="F297" s="1">
        <v>0.904254</v>
      </c>
      <c r="G297" s="1">
        <v>0.57228000000000001</v>
      </c>
      <c r="H297" s="1">
        <v>0.35520000000000002</v>
      </c>
      <c r="I297" s="1">
        <v>0.59689999999999999</v>
      </c>
      <c r="J297" s="1" t="s">
        <v>47</v>
      </c>
      <c r="K297" s="1">
        <v>1.1976047904191616</v>
      </c>
    </row>
    <row r="298" spans="1:11" ht="15.75" customHeight="1" x14ac:dyDescent="0.3">
      <c r="A298" s="1" t="s">
        <v>151</v>
      </c>
      <c r="B298" s="1" t="s">
        <v>16</v>
      </c>
      <c r="C298" s="1" t="s">
        <v>152</v>
      </c>
      <c r="D298" s="1">
        <f>SQRT((F298^2 + H298^2 + G298^2 + I298^2)/4) * (1 + 1.4* SQRT(MAX(0, K298)/100) * (C298/490) * I298 + MAX(0, 1 - C298/490))</f>
        <v>1.1230229989836327</v>
      </c>
      <c r="E298" s="1">
        <v>1.5625</v>
      </c>
      <c r="F298" s="1">
        <v>0.95741699999999996</v>
      </c>
      <c r="G298" s="1">
        <v>1</v>
      </c>
      <c r="H298" s="1">
        <v>0.34989999999999999</v>
      </c>
      <c r="I298" s="1">
        <v>0.43209999999999998</v>
      </c>
      <c r="K298" s="1">
        <v>0.78125</v>
      </c>
    </row>
    <row r="299" spans="1:11" ht="15.75" customHeight="1" x14ac:dyDescent="0.3">
      <c r="A299" s="1" t="s">
        <v>84</v>
      </c>
      <c r="B299" s="1" t="s">
        <v>12</v>
      </c>
      <c r="C299" s="1" t="s">
        <v>85</v>
      </c>
      <c r="D299" s="1">
        <f>SQRT((F299^2 + H299^2 + G299^2 + I299^2)/4) * (1 + 1.4* SQRT(MAX(0, K299)/100) * (C299/490) * I299 + MAX(0, 1 - C299/490))</f>
        <v>1.2283188880686353</v>
      </c>
      <c r="E299" s="1">
        <v>2.1978019999999998</v>
      </c>
      <c r="F299" s="1">
        <v>0.97234500000000001</v>
      </c>
      <c r="G299" s="1">
        <v>1</v>
      </c>
      <c r="H299" s="1">
        <v>0.33129999999999998</v>
      </c>
      <c r="I299" s="1">
        <v>0.46929999999999999</v>
      </c>
      <c r="J299" s="1" t="s">
        <v>14</v>
      </c>
      <c r="K299" s="1">
        <v>-3.8333333333333335</v>
      </c>
    </row>
    <row r="300" spans="1:11" ht="15.75" customHeight="1" x14ac:dyDescent="0.3">
      <c r="A300" s="1" t="s">
        <v>299</v>
      </c>
      <c r="B300" s="1" t="s">
        <v>12</v>
      </c>
      <c r="C300" s="1" t="s">
        <v>300</v>
      </c>
      <c r="D300" s="1">
        <f>SQRT((F300^2 + H300^2 + G300^2 + I300^2)/4) * (1 + 1.4* SQRT(MAX(0, K300)/100) * (C300/490) * I300 + MAX(0, 1 - C300/490))</f>
        <v>0.93996147269611008</v>
      </c>
      <c r="E300" s="1">
        <v>10.426539999999999</v>
      </c>
      <c r="F300" s="1">
        <v>0.94491599999999998</v>
      </c>
      <c r="G300" s="1">
        <v>0.32511099999999998</v>
      </c>
      <c r="H300" s="1">
        <v>0.33129999999999998</v>
      </c>
      <c r="I300" s="1">
        <v>0.46929999999999999</v>
      </c>
      <c r="J300" s="1" t="s">
        <v>14</v>
      </c>
      <c r="K300" s="1">
        <v>4.7393364928909953</v>
      </c>
    </row>
    <row r="301" spans="1:11" ht="15.75" customHeight="1" x14ac:dyDescent="0.3">
      <c r="A301" s="1" t="s">
        <v>205</v>
      </c>
      <c r="B301" s="1" t="s">
        <v>49</v>
      </c>
      <c r="C301" s="1" t="s">
        <v>202</v>
      </c>
      <c r="D301" s="1">
        <f>SQRT((F301^2 + H301^2 + G301^2 + I301^2)/4) * (1 + 1.4* SQRT(MAX(0, K301)/100) * (C301/490) * I301 + MAX(0, 1 - C301/490))</f>
        <v>1.0542266365370478</v>
      </c>
      <c r="E301" s="1">
        <v>5.5749129999999996</v>
      </c>
      <c r="F301" s="1">
        <v>0.95514299999999996</v>
      </c>
      <c r="G301" s="1">
        <v>1</v>
      </c>
      <c r="H301" s="1">
        <v>0.35149999999999998</v>
      </c>
      <c r="I301" s="1">
        <v>0.43209999999999998</v>
      </c>
      <c r="K301" s="1">
        <v>-8.3623693379790947</v>
      </c>
    </row>
    <row r="302" spans="1:11" ht="15.75" customHeight="1" x14ac:dyDescent="0.3">
      <c r="A302" s="1" t="s">
        <v>412</v>
      </c>
      <c r="B302" s="1" t="s">
        <v>49</v>
      </c>
      <c r="C302" s="1" t="s">
        <v>413</v>
      </c>
      <c r="D302" s="1">
        <f>SQRT((F302^2 + H302^2 + G302^2 + I302^2)/4) * (1 + 1.4* SQRT(MAX(0, K302)/100) * (C302/490) * I302 + MAX(0, 1 - C302/490))</f>
        <v>0.84072140311624577</v>
      </c>
      <c r="E302" s="1">
        <v>7.2769950000000003</v>
      </c>
      <c r="F302" s="1">
        <v>0.94946900000000001</v>
      </c>
      <c r="G302" s="1">
        <v>1</v>
      </c>
      <c r="H302" s="1">
        <v>0.35149999999999998</v>
      </c>
      <c r="I302" s="1">
        <v>0.43209999999999998</v>
      </c>
      <c r="K302" s="1">
        <v>-1.408450704225352</v>
      </c>
    </row>
    <row r="303" spans="1:11" ht="15.75" customHeight="1" x14ac:dyDescent="0.3">
      <c r="A303" s="1" t="s">
        <v>73</v>
      </c>
      <c r="B303" s="1" t="s">
        <v>24</v>
      </c>
      <c r="C303" s="1" t="s">
        <v>74</v>
      </c>
      <c r="D303" s="1">
        <f>SQRT((F303^2 + H303^2 + G303^2 + I303^2)/4) * (1 + 1.4* SQRT(MAX(0, K303)/100) * (C303/490) * I303 + MAX(0, 1 - C303/490))</f>
        <v>1.2421093067545448</v>
      </c>
      <c r="E303" s="1">
        <v>3.7735850000000002</v>
      </c>
      <c r="F303" s="1">
        <v>0.94339300000000004</v>
      </c>
      <c r="G303" s="1">
        <v>1</v>
      </c>
      <c r="H303" s="1">
        <v>0.34870000000000001</v>
      </c>
      <c r="I303" s="1">
        <v>0.43209999999999998</v>
      </c>
      <c r="K303" s="1">
        <v>-1.2578616352201257</v>
      </c>
    </row>
    <row r="304" spans="1:11" ht="15.75" customHeight="1" x14ac:dyDescent="0.3">
      <c r="A304" s="1" t="s">
        <v>348</v>
      </c>
      <c r="B304" s="1" t="s">
        <v>36</v>
      </c>
      <c r="C304" s="1" t="s">
        <v>349</v>
      </c>
      <c r="D304" s="1">
        <f>SQRT((F304^2 + H304^2 + G304^2 + I304^2)/4) * (1 + 1.4* SQRT(MAX(0, K304)/100) * (C304/490) * I304 + MAX(0, 1 - C304/490))</f>
        <v>0.90817801497447259</v>
      </c>
      <c r="E304" s="1">
        <v>1.1494249999999999</v>
      </c>
      <c r="F304" s="1">
        <v>0.91161000000000003</v>
      </c>
      <c r="G304" s="1">
        <v>0.19798399999999999</v>
      </c>
      <c r="H304" s="1">
        <v>0.36220000000000002</v>
      </c>
      <c r="I304" s="1">
        <v>0.43209999999999998</v>
      </c>
      <c r="K304" s="1">
        <v>0.99826388888888884</v>
      </c>
    </row>
    <row r="305" spans="1:11" ht="15.75" customHeight="1" x14ac:dyDescent="0.3">
      <c r="A305" s="1" t="s">
        <v>215</v>
      </c>
      <c r="B305" s="1" t="s">
        <v>12</v>
      </c>
      <c r="C305" s="1" t="s">
        <v>216</v>
      </c>
      <c r="D305" s="1">
        <f>SQRT((F305^2 + H305^2 + G305^2 + I305^2)/4) * (1 + 1.4* SQRT(MAX(0, K305)/100) * (C305/490) * I305 + MAX(0, 1 - C305/490))</f>
        <v>1.0500437918262313</v>
      </c>
      <c r="E305" s="1">
        <v>6.1224489999999996</v>
      </c>
      <c r="F305" s="1">
        <v>0.95926299999999998</v>
      </c>
      <c r="G305" s="1">
        <v>1</v>
      </c>
      <c r="H305" s="1">
        <v>0.33129999999999998</v>
      </c>
      <c r="I305" s="1">
        <v>0.46929999999999999</v>
      </c>
      <c r="J305" s="1" t="s">
        <v>14</v>
      </c>
      <c r="K305" s="1">
        <v>-5.1020408163265305</v>
      </c>
    </row>
    <row r="306" spans="1:11" ht="15.75" customHeight="1" x14ac:dyDescent="0.3">
      <c r="A306" s="1" t="s">
        <v>326</v>
      </c>
      <c r="B306" s="1" t="s">
        <v>21</v>
      </c>
      <c r="C306" s="1" t="s">
        <v>327</v>
      </c>
      <c r="D306" s="1">
        <f>SQRT((F306^2 + H306^2 + G306^2 + I306^2)/4) * (1 + 1.4* SQRT(MAX(0, K306)/100) * (C306/490) * I306 + MAX(0, 1 - C306/490))</f>
        <v>0.9237640359601188</v>
      </c>
      <c r="E306" s="1">
        <v>0</v>
      </c>
      <c r="F306" s="1">
        <v>0.96971799999999997</v>
      </c>
      <c r="G306" s="1">
        <v>0.32924500000000001</v>
      </c>
      <c r="H306" s="1">
        <v>0.3493</v>
      </c>
      <c r="I306" s="1">
        <v>0.43209999999999998</v>
      </c>
      <c r="K306" s="1">
        <v>0</v>
      </c>
    </row>
    <row r="307" spans="1:11" ht="15.75" customHeight="1" x14ac:dyDescent="0.3">
      <c r="A307" s="1" t="s">
        <v>115</v>
      </c>
      <c r="B307" s="1" t="s">
        <v>21</v>
      </c>
      <c r="C307" s="1" t="s">
        <v>116</v>
      </c>
      <c r="D307" s="1">
        <f>SQRT((F307^2 + H307^2 + G307^2 + I307^2)/4) * (1 + 1.4* SQRT(MAX(0, K307)/100) * (C307/490) * I307 + MAX(0, 1 - C307/490))</f>
        <v>1.193614280721274</v>
      </c>
      <c r="E307" s="1">
        <v>0</v>
      </c>
      <c r="F307" s="1">
        <v>0.96971799999999997</v>
      </c>
      <c r="G307" s="1">
        <v>0.594615</v>
      </c>
      <c r="H307" s="1">
        <v>0.3493</v>
      </c>
      <c r="I307" s="1">
        <v>0.43209999999999998</v>
      </c>
      <c r="K307" s="1">
        <v>0</v>
      </c>
    </row>
    <row r="308" spans="1:11" ht="15.75" customHeight="1" x14ac:dyDescent="0.3">
      <c r="A308" s="1" t="s">
        <v>375</v>
      </c>
      <c r="B308" s="1" t="s">
        <v>111</v>
      </c>
      <c r="C308" s="1" t="s">
        <v>376</v>
      </c>
      <c r="D308" s="1">
        <f>SQRT((F308^2 + H308^2 + G308^2 + I308^2)/4) * (1 + 1.4* SQRT(MAX(0, K308)/100) * (C308/490) * I308 + MAX(0, 1 - C308/490))</f>
        <v>0.88270843991691994</v>
      </c>
      <c r="E308" s="1">
        <v>6.5162909999999998</v>
      </c>
      <c r="F308" s="1">
        <v>0.95558900000000002</v>
      </c>
      <c r="G308" s="1">
        <v>1</v>
      </c>
      <c r="H308" s="1">
        <v>0.3322</v>
      </c>
      <c r="I308" s="1">
        <v>0.23019999999999999</v>
      </c>
      <c r="J308" s="1" t="s">
        <v>112</v>
      </c>
      <c r="K308" s="1">
        <v>2.255639097744361</v>
      </c>
    </row>
    <row r="309" spans="1:11" ht="15.75" customHeight="1" x14ac:dyDescent="0.3">
      <c r="A309" s="1" t="s">
        <v>478</v>
      </c>
      <c r="B309" s="1" t="s">
        <v>21</v>
      </c>
      <c r="C309" s="1" t="s">
        <v>479</v>
      </c>
      <c r="D309" s="1">
        <f>SQRT((F309^2 + H309^2 + G309^2 + I309^2)/4) * (1 + 1.4* SQRT(MAX(0, K309)/100) * (C309/490) * I309 + MAX(0, 1 - C309/490))</f>
        <v>0.76374263868437564</v>
      </c>
      <c r="E309" s="1">
        <v>5.4507339999999997</v>
      </c>
      <c r="F309" s="1">
        <v>0.95154899999999998</v>
      </c>
      <c r="G309" s="1">
        <v>1</v>
      </c>
      <c r="H309" s="1">
        <v>0.3493</v>
      </c>
      <c r="I309" s="1">
        <v>0.43209999999999998</v>
      </c>
      <c r="K309" s="1">
        <v>-3.3383915022761759</v>
      </c>
    </row>
    <row r="310" spans="1:11" ht="15.75" customHeight="1" x14ac:dyDescent="0.3">
      <c r="A310" s="1" t="s">
        <v>512</v>
      </c>
      <c r="B310" s="1" t="s">
        <v>21</v>
      </c>
      <c r="C310" s="1" t="s">
        <v>513</v>
      </c>
      <c r="D310" s="1">
        <f>SQRT((F310^2 + H310^2 + G310^2 + I310^2)/4) * (1 + 1.4* SQRT(MAX(0, K310)/100) * (C310/490) * I310 + MAX(0, 1 - C310/490))</f>
        <v>0.74852687359172343</v>
      </c>
      <c r="E310" s="1">
        <v>1.225115</v>
      </c>
      <c r="F310" s="1">
        <v>0.96563399999999999</v>
      </c>
      <c r="G310" s="1">
        <v>1</v>
      </c>
      <c r="H310" s="1">
        <v>0.3493</v>
      </c>
      <c r="I310" s="1">
        <v>0.43209999999999998</v>
      </c>
      <c r="K310" s="1">
        <v>-2.3736600306278715</v>
      </c>
    </row>
    <row r="311" spans="1:11" ht="15.75" customHeight="1" x14ac:dyDescent="0.3">
      <c r="A311" s="1" t="s">
        <v>531</v>
      </c>
      <c r="B311" s="1" t="s">
        <v>21</v>
      </c>
      <c r="C311" s="1" t="s">
        <v>532</v>
      </c>
      <c r="D311" s="1">
        <f>SQRT((F311^2 + H311^2 + G311^2 + I311^2)/4) * (1 + 1.4* SQRT(MAX(0, K311)/100) * (C311/490) * I311 + MAX(0, 1 - C311/490))</f>
        <v>0.74689360953284367</v>
      </c>
      <c r="E311" s="1">
        <v>2.7467809999999999</v>
      </c>
      <c r="F311" s="1">
        <v>0.96056200000000003</v>
      </c>
      <c r="G311" s="1">
        <v>1</v>
      </c>
      <c r="H311" s="1">
        <v>0.3493</v>
      </c>
      <c r="I311" s="1">
        <v>0.43209999999999998</v>
      </c>
      <c r="K311" s="1">
        <v>-0.42918454935622319</v>
      </c>
    </row>
    <row r="312" spans="1:11" ht="15.75" customHeight="1" x14ac:dyDescent="0.3">
      <c r="A312" s="1" t="s">
        <v>459</v>
      </c>
      <c r="B312" s="1" t="s">
        <v>21</v>
      </c>
      <c r="C312" s="1" t="s">
        <v>460</v>
      </c>
      <c r="D312" s="1">
        <f>SQRT((F312^2 + H312^2 + G312^2 + I312^2)/4) * (1 + 1.4* SQRT(MAX(0, K312)/100) * (C312/490) * I312 + MAX(0, 1 - C312/490))</f>
        <v>0.78578650052488763</v>
      </c>
      <c r="E312" s="1">
        <v>4.75162</v>
      </c>
      <c r="F312" s="1">
        <v>0.95387900000000003</v>
      </c>
      <c r="G312" s="1">
        <v>1</v>
      </c>
      <c r="H312" s="1">
        <v>0.3493</v>
      </c>
      <c r="I312" s="1">
        <v>0.43209999999999998</v>
      </c>
      <c r="K312" s="1">
        <v>-1.5118790496760259</v>
      </c>
    </row>
    <row r="313" spans="1:11" ht="15.75" customHeight="1" x14ac:dyDescent="0.3">
      <c r="A313" s="1" t="s">
        <v>121</v>
      </c>
      <c r="B313" s="1" t="s">
        <v>21</v>
      </c>
      <c r="C313" s="1" t="s">
        <v>122</v>
      </c>
      <c r="D313" s="1">
        <f>SQRT((F313^2 + H313^2 + G313^2 + I313^2)/4) * (1 + 1.4* SQRT(MAX(0, K313)/100) * (C313/490) * I313 + MAX(0, 1 - C313/490))</f>
        <v>1.174746664997238</v>
      </c>
      <c r="E313" s="1">
        <v>4.8309179999999996</v>
      </c>
      <c r="F313" s="1">
        <v>0.95361499999999999</v>
      </c>
      <c r="G313" s="1">
        <v>1</v>
      </c>
      <c r="H313" s="1">
        <v>0.3493</v>
      </c>
      <c r="I313" s="1">
        <v>0.43209999999999998</v>
      </c>
      <c r="K313" s="1">
        <v>-4.8309178743961354</v>
      </c>
    </row>
    <row r="314" spans="1:11" ht="15.75" customHeight="1" x14ac:dyDescent="0.3">
      <c r="A314" s="1" t="s">
        <v>242</v>
      </c>
      <c r="B314" s="1" t="s">
        <v>21</v>
      </c>
      <c r="C314" s="1" t="s">
        <v>243</v>
      </c>
      <c r="D314" s="1">
        <f>SQRT((F314^2 + H314^2 + G314^2 + I314^2)/4) * (1 + 1.4* SQRT(MAX(0, K314)/100) * (C314/490) * I314 + MAX(0, 1 - C314/490))</f>
        <v>1.0166095183739852</v>
      </c>
      <c r="E314" s="1">
        <v>3.8461539999999999</v>
      </c>
      <c r="F314" s="1">
        <v>0.956897</v>
      </c>
      <c r="G314" s="1">
        <v>1</v>
      </c>
      <c r="H314" s="1">
        <v>0.3493</v>
      </c>
      <c r="I314" s="1">
        <v>0.43209999999999998</v>
      </c>
      <c r="K314" s="1">
        <v>-1.9230769230769231</v>
      </c>
    </row>
    <row r="315" spans="1:11" ht="15.75" customHeight="1" x14ac:dyDescent="0.3">
      <c r="A315" s="1" t="s">
        <v>390</v>
      </c>
      <c r="B315" s="1" t="s">
        <v>24</v>
      </c>
      <c r="C315" s="1" t="s">
        <v>265</v>
      </c>
      <c r="D315" s="1">
        <f>SQRT((F315^2 + H315^2 + G315^2 + I315^2)/4) * (1 + 1.4* SQRT(MAX(0, K315)/100) * (C315/490) * I315 + MAX(0, 1 - C315/490))</f>
        <v>0.86290429469350471</v>
      </c>
      <c r="E315" s="1">
        <v>0</v>
      </c>
      <c r="F315" s="1">
        <v>0.95597100000000002</v>
      </c>
      <c r="G315" s="1">
        <v>0.69344600000000001</v>
      </c>
      <c r="H315" s="1">
        <v>0.34870000000000001</v>
      </c>
      <c r="I315" s="1">
        <v>0.43209999999999998</v>
      </c>
      <c r="K315" s="1">
        <v>0</v>
      </c>
    </row>
    <row r="316" spans="1:11" ht="15.75" customHeight="1" x14ac:dyDescent="0.3">
      <c r="A316" s="1" t="s">
        <v>211</v>
      </c>
      <c r="B316" s="1" t="s">
        <v>12</v>
      </c>
      <c r="C316" s="1" t="s">
        <v>212</v>
      </c>
      <c r="D316" s="1">
        <f>SQRT((F316^2 + H316^2 + G316^2 + I316^2)/4) * (1 + 1.4* SQRT(MAX(0, K316)/100) * (C316/490) * I316 + MAX(0, 1 - C316/490))</f>
        <v>1.0517201165075232</v>
      </c>
      <c r="E316" s="1">
        <v>4.6647230000000004</v>
      </c>
      <c r="F316" s="1">
        <v>0.96412200000000003</v>
      </c>
      <c r="G316" s="1">
        <v>1</v>
      </c>
      <c r="H316" s="1">
        <v>0.33129999999999998</v>
      </c>
      <c r="I316" s="1">
        <v>0.46929999999999999</v>
      </c>
      <c r="J316" s="1" t="s">
        <v>14</v>
      </c>
      <c r="K316" s="1">
        <v>4.6647230320699711</v>
      </c>
    </row>
    <row r="317" spans="1:11" ht="15.75" customHeight="1" x14ac:dyDescent="0.3">
      <c r="A317" s="1" t="s">
        <v>125</v>
      </c>
      <c r="B317" s="1" t="s">
        <v>49</v>
      </c>
      <c r="C317" s="1" t="s">
        <v>126</v>
      </c>
      <c r="D317" s="1">
        <f>SQRT((F317^2 + H317^2 + G317^2 + I317^2)/4) * (1 + 1.4* SQRT(MAX(0, K317)/100) * (C317/490) * I317 + MAX(0, 1 - C317/490))</f>
        <v>1.1676812775958807</v>
      </c>
      <c r="E317" s="1">
        <v>2.3148149999999998</v>
      </c>
      <c r="F317" s="1">
        <v>0.96601000000000004</v>
      </c>
      <c r="G317" s="1">
        <v>1</v>
      </c>
      <c r="H317" s="1">
        <v>0.35149999999999998</v>
      </c>
      <c r="I317" s="1">
        <v>0.43209999999999998</v>
      </c>
      <c r="K317" s="1">
        <v>0</v>
      </c>
    </row>
    <row r="318" spans="1:11" ht="15.75" customHeight="1" x14ac:dyDescent="0.3">
      <c r="A318" s="1" t="s">
        <v>637</v>
      </c>
      <c r="B318" s="1" t="s">
        <v>16</v>
      </c>
      <c r="C318" s="1" t="s">
        <v>364</v>
      </c>
      <c r="D318" s="1">
        <f>SQRT((F318^2 + H318^2 + G318^2 + I318^2)/4) * (1 + 1.4* SQRT(MAX(0, K318)/100) * (C318/490) * I318 + MAX(0, 1 - C318/490))</f>
        <v>0.68123297255543291</v>
      </c>
      <c r="E318" s="1">
        <v>1.507538</v>
      </c>
      <c r="F318" s="1">
        <v>0.95760000000000001</v>
      </c>
      <c r="G318" s="1">
        <v>0.25678200000000001</v>
      </c>
      <c r="H318" s="1">
        <v>0.34989999999999999</v>
      </c>
      <c r="I318" s="1">
        <v>0.43209999999999998</v>
      </c>
      <c r="K318" s="1">
        <v>4.8899755501222497E-2</v>
      </c>
    </row>
    <row r="319" spans="1:11" ht="15.75" customHeight="1" x14ac:dyDescent="0.3">
      <c r="A319" s="1" t="s">
        <v>365</v>
      </c>
      <c r="B319" s="1" t="s">
        <v>16</v>
      </c>
      <c r="C319" s="1" t="s">
        <v>275</v>
      </c>
      <c r="D319" s="1">
        <f>SQRT((F319^2 + H319^2 + G319^2 + I319^2)/4) * (1 + 1.4* SQRT(MAX(0, K319)/100) * (C319/490) * I319 + MAX(0, 1 - C319/490))</f>
        <v>0.89146360841869832</v>
      </c>
      <c r="E319" s="1">
        <v>5.6265980000000004</v>
      </c>
      <c r="F319" s="1">
        <v>0.94386999999999999</v>
      </c>
      <c r="G319" s="1">
        <v>1</v>
      </c>
      <c r="H319" s="1">
        <v>0.34989999999999999</v>
      </c>
      <c r="I319" s="1">
        <v>0.43209999999999998</v>
      </c>
      <c r="K319" s="1">
        <v>0</v>
      </c>
    </row>
    <row r="320" spans="1:11" ht="15.75" customHeight="1" x14ac:dyDescent="0.3">
      <c r="A320" s="1" t="s">
        <v>138</v>
      </c>
      <c r="B320" s="1" t="s">
        <v>21</v>
      </c>
      <c r="C320" s="1" t="s">
        <v>57</v>
      </c>
      <c r="D320" s="1">
        <f>SQRT((F320^2 + H320^2 + G320^2 + I320^2)/4) * (1 + 1.4* SQRT(MAX(0, K320)/100) * (C320/490) * I320 + MAX(0, 1 - C320/490))</f>
        <v>1.1480454488482728</v>
      </c>
      <c r="E320" s="1">
        <v>5.3571429999999998</v>
      </c>
      <c r="F320" s="1">
        <v>0.95186099999999996</v>
      </c>
      <c r="G320" s="1">
        <v>1</v>
      </c>
      <c r="H320" s="1">
        <v>0.3493</v>
      </c>
      <c r="I320" s="1">
        <v>0.43209999999999998</v>
      </c>
      <c r="K320" s="1">
        <v>-1.7857142857142858</v>
      </c>
    </row>
    <row r="321" spans="1:11" ht="15.75" customHeight="1" x14ac:dyDescent="0.3">
      <c r="A321" s="1" t="s">
        <v>392</v>
      </c>
      <c r="B321" s="1" t="s">
        <v>36</v>
      </c>
      <c r="C321" s="1" t="s">
        <v>393</v>
      </c>
      <c r="D321" s="1">
        <f>SQRT((F321^2 + H321^2 + G321^2 + I321^2)/4) * (1 + 1.4* SQRT(MAX(0, K321)/100) * (C321/490) * I321 + MAX(0, 1 - C321/490))</f>
        <v>0.85429338657814746</v>
      </c>
      <c r="E321" s="1">
        <v>1.5023470000000001</v>
      </c>
      <c r="F321" s="1">
        <v>0.91043399999999997</v>
      </c>
      <c r="G321" s="1">
        <v>1</v>
      </c>
      <c r="H321" s="1">
        <v>0.36220000000000002</v>
      </c>
      <c r="I321" s="1">
        <v>0.43209999999999998</v>
      </c>
      <c r="K321" s="1">
        <v>1.596244131455399</v>
      </c>
    </row>
    <row r="322" spans="1:11" ht="15.75" customHeight="1" x14ac:dyDescent="0.3">
      <c r="A322" s="1" t="s">
        <v>572</v>
      </c>
      <c r="B322" s="1" t="s">
        <v>24</v>
      </c>
      <c r="C322" s="1" t="s">
        <v>573</v>
      </c>
      <c r="D322" s="1">
        <f>SQRT((F322^2 + H322^2 + G322^2 + I322^2)/4) * (1 + 1.4* SQRT(MAX(0, K322)/100) * (C322/490) * I322 + MAX(0, 1 - C322/490))</f>
        <v>0.74229527998027844</v>
      </c>
      <c r="E322" s="1">
        <v>2.8659159999999999</v>
      </c>
      <c r="F322" s="1">
        <v>0.94641799999999998</v>
      </c>
      <c r="G322" s="1">
        <v>1</v>
      </c>
      <c r="H322" s="1">
        <v>0.34870000000000001</v>
      </c>
      <c r="I322" s="1">
        <v>0.43209999999999998</v>
      </c>
      <c r="K322" s="1">
        <v>0</v>
      </c>
    </row>
    <row r="323" spans="1:11" ht="15.75" customHeight="1" x14ac:dyDescent="0.3">
      <c r="A323" s="1" t="s">
        <v>38</v>
      </c>
      <c r="B323" s="1" t="s">
        <v>24</v>
      </c>
      <c r="C323" s="1" t="s">
        <v>39</v>
      </c>
      <c r="D323" s="1">
        <f>SQRT((F323^2 + H323^2 + G323^2 + I323^2)/4) * (1 + 1.4* SQRT(MAX(0, K323)/100) * (C323/490) * I323 + MAX(0, 1 - C323/490))</f>
        <v>1.3246068294041726</v>
      </c>
      <c r="E323" s="1">
        <v>12.903226</v>
      </c>
      <c r="F323" s="1">
        <v>0.91296100000000002</v>
      </c>
      <c r="G323" s="1">
        <v>1</v>
      </c>
      <c r="H323" s="1">
        <v>0.34870000000000001</v>
      </c>
      <c r="I323" s="1">
        <v>0.43209999999999998</v>
      </c>
      <c r="K323" s="1">
        <v>-0.44802867383512546</v>
      </c>
    </row>
    <row r="324" spans="1:11" ht="15.75" customHeight="1" x14ac:dyDescent="0.3">
      <c r="A324" s="1" t="s">
        <v>842</v>
      </c>
      <c r="B324" s="1" t="s">
        <v>49</v>
      </c>
      <c r="C324" s="1" t="s">
        <v>477</v>
      </c>
      <c r="D324" s="1">
        <f>SQRT((F324^2 + H324^2 + G324^2 + I324^2)/4) * (1 + 1.4* SQRT(MAX(0, K324)/100) * (C324/490) * I324 + MAX(0, 1 - C324/490))</f>
        <v>0.58235435575555916</v>
      </c>
      <c r="E324" s="1">
        <v>1.2765960000000001</v>
      </c>
      <c r="F324" s="1">
        <v>0.96947000000000005</v>
      </c>
      <c r="G324" s="1">
        <v>4.5848E-2</v>
      </c>
      <c r="H324" s="1">
        <v>0.35149999999999998</v>
      </c>
      <c r="I324" s="1">
        <v>0.43209999999999998</v>
      </c>
      <c r="K324" s="1">
        <v>0</v>
      </c>
    </row>
    <row r="325" spans="1:11" ht="15.75" customHeight="1" x14ac:dyDescent="0.3">
      <c r="A325" s="1" t="s">
        <v>539</v>
      </c>
      <c r="B325" s="1" t="s">
        <v>21</v>
      </c>
      <c r="C325" s="1" t="s">
        <v>540</v>
      </c>
      <c r="D325" s="1">
        <f>SQRT((F325^2 + H325^2 + G325^2 + I325^2)/4) * (1 + 1.4* SQRT(MAX(0, K325)/100) * (C325/490) * I325 + MAX(0, 1 - C325/490))</f>
        <v>0.74622944946996694</v>
      </c>
      <c r="E325" s="1">
        <v>3.367003</v>
      </c>
      <c r="F325" s="1">
        <v>0.95849499999999999</v>
      </c>
      <c r="G325" s="1">
        <v>1</v>
      </c>
      <c r="H325" s="1">
        <v>0.3493</v>
      </c>
      <c r="I325" s="1">
        <v>0.43209999999999998</v>
      </c>
      <c r="K325" s="1">
        <v>-3.1986531986531985</v>
      </c>
    </row>
    <row r="326" spans="1:11" ht="15.75" customHeight="1" x14ac:dyDescent="0.3">
      <c r="A326" s="1" t="s">
        <v>266</v>
      </c>
      <c r="B326" s="1" t="s">
        <v>49</v>
      </c>
      <c r="C326" s="1" t="s">
        <v>267</v>
      </c>
      <c r="D326" s="1">
        <f>SQRT((F326^2 + H326^2 + G326^2 + I326^2)/4) * (1 + 1.4* SQRT(MAX(0, K326)/100) * (C326/490) * I326 + MAX(0, 1 - C326/490))</f>
        <v>0.98327574224406633</v>
      </c>
      <c r="E326" s="1">
        <v>8.8642660000000006</v>
      </c>
      <c r="F326" s="1">
        <v>0.94417799999999996</v>
      </c>
      <c r="G326" s="1">
        <v>1</v>
      </c>
      <c r="H326" s="1">
        <v>0.35149999999999998</v>
      </c>
      <c r="I326" s="1">
        <v>0.43209999999999998</v>
      </c>
      <c r="K326" s="1">
        <v>1.9390581717451523</v>
      </c>
    </row>
    <row r="327" spans="1:11" ht="15.75" customHeight="1" x14ac:dyDescent="0.3">
      <c r="A327" s="1" t="s">
        <v>518</v>
      </c>
      <c r="B327" s="1" t="s">
        <v>21</v>
      </c>
      <c r="C327" s="1" t="s">
        <v>235</v>
      </c>
      <c r="D327" s="1">
        <f>SQRT((F327^2 + H327^2 + G327^2 + I327^2)/4) * (1 + 1.4* SQRT(MAX(0, K327)/100) * (C327/490) * I327 + MAX(0, 1 - C327/490))</f>
        <v>0.74823959332038159</v>
      </c>
      <c r="E327" s="1">
        <v>1.492537</v>
      </c>
      <c r="F327" s="1">
        <v>0.96474300000000002</v>
      </c>
      <c r="G327" s="1">
        <v>1</v>
      </c>
      <c r="H327" s="1">
        <v>0.3493</v>
      </c>
      <c r="I327" s="1">
        <v>0.43209999999999998</v>
      </c>
      <c r="K327" s="1">
        <v>-3.3582089552238807</v>
      </c>
    </row>
    <row r="328" spans="1:11" ht="15.75" customHeight="1" x14ac:dyDescent="0.3">
      <c r="A328" s="1" t="s">
        <v>510</v>
      </c>
      <c r="B328" s="1" t="s">
        <v>49</v>
      </c>
      <c r="C328" s="1" t="s">
        <v>511</v>
      </c>
      <c r="D328" s="1">
        <f>SQRT((F328^2 + H328^2 + G328^2 + I328^2)/4) * (1 + 1.4* SQRT(MAX(0, K328)/100) * (C328/490) * I328 + MAX(0, 1 - C328/490))</f>
        <v>0.7485525394427901</v>
      </c>
      <c r="E328" s="1">
        <v>2.6431719999999999</v>
      </c>
      <c r="F328" s="1">
        <v>0.96491499999999997</v>
      </c>
      <c r="G328" s="1">
        <v>1</v>
      </c>
      <c r="H328" s="1">
        <v>0.35149999999999998</v>
      </c>
      <c r="I328" s="1">
        <v>0.43209999999999998</v>
      </c>
      <c r="K328" s="1">
        <v>-2.2077270446562971</v>
      </c>
    </row>
    <row r="329" spans="1:11" ht="15.75" customHeight="1" x14ac:dyDescent="0.3">
      <c r="A329" s="1" t="s">
        <v>514</v>
      </c>
      <c r="B329" s="1" t="s">
        <v>49</v>
      </c>
      <c r="C329" s="1" t="s">
        <v>515</v>
      </c>
      <c r="D329" s="1">
        <f>SQRT((F329^2 + H329^2 + G329^2 + I329^2)/4) * (1 + 1.4* SQRT(MAX(0, K329)/100) * (C329/490) * I329 + MAX(0, 1 - C329/490))</f>
        <v>0.74838724561619829</v>
      </c>
      <c r="E329" s="1">
        <v>2.7972030000000001</v>
      </c>
      <c r="F329" s="1">
        <v>0.96440199999999998</v>
      </c>
      <c r="G329" s="1">
        <v>1</v>
      </c>
      <c r="H329" s="1">
        <v>0.35149999999999998</v>
      </c>
      <c r="I329" s="1">
        <v>0.43209999999999998</v>
      </c>
      <c r="K329" s="1">
        <v>-2.2077270446562971</v>
      </c>
    </row>
    <row r="330" spans="1:11" ht="15.75" customHeight="1" x14ac:dyDescent="0.3">
      <c r="A330" s="1" t="s">
        <v>521</v>
      </c>
      <c r="B330" s="1" t="s">
        <v>49</v>
      </c>
      <c r="C330" s="1" t="s">
        <v>522</v>
      </c>
      <c r="D330" s="1">
        <f>SQRT((F330^2 + H330^2 + G330^2 + I330^2)/4) * (1 + 1.4* SQRT(MAX(0, K330)/100) * (C330/490) * I330 + MAX(0, 1 - C330/490))</f>
        <v>0.74785980967290921</v>
      </c>
      <c r="E330" s="1">
        <v>3.2884899999999999</v>
      </c>
      <c r="F330" s="1">
        <v>0.96276399999999995</v>
      </c>
      <c r="G330" s="1">
        <v>1</v>
      </c>
      <c r="H330" s="1">
        <v>0.35149999999999998</v>
      </c>
      <c r="I330" s="1">
        <v>0.43209999999999998</v>
      </c>
      <c r="K330" s="1">
        <v>0</v>
      </c>
    </row>
    <row r="331" spans="1:11" ht="15.75" customHeight="1" x14ac:dyDescent="0.3">
      <c r="A331" s="1" t="s">
        <v>410</v>
      </c>
      <c r="B331" s="1" t="s">
        <v>21</v>
      </c>
      <c r="C331" s="1" t="s">
        <v>411</v>
      </c>
      <c r="D331" s="1">
        <f>SQRT((F331^2 + H331^2 + G331^2 + I331^2)/4) * (1 + 1.4* SQRT(MAX(0, K331)/100) * (C331/490) * I331 + MAX(0, 1 - C331/490))</f>
        <v>0.8414404147952913</v>
      </c>
      <c r="E331" s="1">
        <v>1.197605</v>
      </c>
      <c r="F331" s="1">
        <v>0.96572599999999997</v>
      </c>
      <c r="G331" s="1">
        <v>0.62295699999999998</v>
      </c>
      <c r="H331" s="1">
        <v>0.3493</v>
      </c>
      <c r="I331" s="1">
        <v>0.43209999999999998</v>
      </c>
      <c r="K331" s="1">
        <v>0</v>
      </c>
    </row>
    <row r="332" spans="1:11" ht="15.75" customHeight="1" x14ac:dyDescent="0.3">
      <c r="A332" s="1" t="s">
        <v>428</v>
      </c>
      <c r="B332" s="1" t="s">
        <v>16</v>
      </c>
      <c r="C332" s="1" t="s">
        <v>429</v>
      </c>
      <c r="D332" s="1">
        <f>SQRT((F332^2 + H332^2 + G332^2 + I332^2)/4) * (1 + 1.4* SQRT(MAX(0, K332)/100) * (C332/490) * I332 + MAX(0, 1 - C332/490))</f>
        <v>0.82799520658833492</v>
      </c>
      <c r="E332" s="1">
        <v>5.5427249999999999</v>
      </c>
      <c r="F332" s="1">
        <v>0.94415000000000004</v>
      </c>
      <c r="G332" s="1">
        <v>1</v>
      </c>
      <c r="H332" s="1">
        <v>0.34989999999999999</v>
      </c>
      <c r="I332" s="1">
        <v>0.43209999999999998</v>
      </c>
      <c r="K332" s="1">
        <v>-5.5427251732101617</v>
      </c>
    </row>
    <row r="333" spans="1:11" ht="15.75" customHeight="1" x14ac:dyDescent="0.3">
      <c r="A333" s="1" t="s">
        <v>28</v>
      </c>
      <c r="B333" s="1" t="s">
        <v>16</v>
      </c>
      <c r="C333" s="1" t="s">
        <v>22</v>
      </c>
      <c r="D333" s="1">
        <f>SQRT((F333^2 + H333^2 + G333^2 + I333^2)/4) * (1 + 1.4* (SQRT(MAX(0, K333)/100)) * (C333/490) * I333 + MAX(0, 1 - C333/490))</f>
        <v>1.3536043429040188</v>
      </c>
      <c r="E333" s="1">
        <v>13.157895</v>
      </c>
      <c r="F333" s="1">
        <v>0.91876599999999997</v>
      </c>
      <c r="G333" s="1">
        <v>1</v>
      </c>
      <c r="H333" s="1">
        <v>0.34989999999999999</v>
      </c>
      <c r="I333" s="1">
        <v>0.43209999999999998</v>
      </c>
      <c r="K333" s="1">
        <v>-28.94736842105263</v>
      </c>
    </row>
    <row r="334" spans="1:11" ht="15.75" customHeight="1" x14ac:dyDescent="0.3">
      <c r="A334" s="1" t="s">
        <v>193</v>
      </c>
      <c r="B334" s="1" t="s">
        <v>24</v>
      </c>
      <c r="C334" s="1" t="s">
        <v>184</v>
      </c>
      <c r="D334" s="1">
        <f>SQRT((F334^2 + H334^2 + G334^2 + I334^2)/4) * (1 + 1.4* SQRT(MAX(0, K334)/100) * (C334/490) * I334 + MAX(0, 1 - C334/490))</f>
        <v>1.0694000721530026</v>
      </c>
      <c r="E334" s="1">
        <v>5.9040590000000002</v>
      </c>
      <c r="F334" s="1">
        <v>0.93629099999999998</v>
      </c>
      <c r="G334" s="1">
        <v>1</v>
      </c>
      <c r="H334" s="1">
        <v>0.34870000000000001</v>
      </c>
      <c r="I334" s="1">
        <v>0.43209999999999998</v>
      </c>
      <c r="K334" s="1">
        <v>-1.3678905687544995</v>
      </c>
    </row>
    <row r="335" spans="1:11" ht="15.75" customHeight="1" x14ac:dyDescent="0.3">
      <c r="A335" s="1" t="s">
        <v>688</v>
      </c>
      <c r="B335" s="1" t="s">
        <v>12</v>
      </c>
      <c r="C335" s="1" t="s">
        <v>689</v>
      </c>
      <c r="D335" s="1">
        <f>SQRT((F335^2 + H335^2 + G335^2 + I335^2)/4) * (1 + 1.4* SQRT(MAX(0, K335)/100) * (C335/490) * I335 + MAX(0, 1 - C335/490))</f>
        <v>0.64699696088938496</v>
      </c>
      <c r="E335" s="1">
        <v>0</v>
      </c>
      <c r="F335" s="1">
        <v>0.97967099999999996</v>
      </c>
      <c r="G335" s="1">
        <v>0.39333299999999999</v>
      </c>
      <c r="H335" s="1">
        <v>0.33129999999999998</v>
      </c>
      <c r="I335" s="1">
        <v>0.46929999999999999</v>
      </c>
      <c r="J335" s="1" t="s">
        <v>14</v>
      </c>
      <c r="K335" s="1">
        <v>0.61168529846024045</v>
      </c>
    </row>
    <row r="336" spans="1:11" ht="15.75" customHeight="1" x14ac:dyDescent="0.3">
      <c r="A336" s="1" t="s">
        <v>217</v>
      </c>
      <c r="B336" s="1" t="s">
        <v>49</v>
      </c>
      <c r="C336" s="1" t="s">
        <v>218</v>
      </c>
      <c r="D336" s="1">
        <f>SQRT((F336^2 + H336^2 + G336^2 + I336^2)/4) * (1 + 1.4* SQRT(MAX(0, K336)/100) * (C336/490) * I336 + MAX(0, 1 - C336/490))</f>
        <v>1.0497494995516583</v>
      </c>
      <c r="E336" s="1">
        <v>5.5172410000000003</v>
      </c>
      <c r="F336" s="1">
        <v>0.95533500000000005</v>
      </c>
      <c r="G336" s="1">
        <v>1</v>
      </c>
      <c r="H336" s="1">
        <v>0.35149999999999998</v>
      </c>
      <c r="I336" s="1">
        <v>0.43209999999999998</v>
      </c>
      <c r="K336" s="1">
        <v>-7.2413793103448274</v>
      </c>
    </row>
    <row r="337" spans="1:11" ht="15.75" customHeight="1" x14ac:dyDescent="0.3">
      <c r="A337" s="1" t="s">
        <v>272</v>
      </c>
      <c r="B337" s="1" t="s">
        <v>24</v>
      </c>
      <c r="C337" s="1" t="s">
        <v>273</v>
      </c>
      <c r="D337" s="1">
        <f>SQRT((F337^2 + H337^2 + G337^2 + I337^2)/4) * (1 + 1.4* SQRT(MAX(0, K337)/100) * (C337/490) * I337 + MAX(0, 1 - C337/490))</f>
        <v>0.97122248736346217</v>
      </c>
      <c r="E337" s="1">
        <v>2.5773199999999998</v>
      </c>
      <c r="F337" s="1">
        <v>0.94738</v>
      </c>
      <c r="G337" s="1">
        <v>1</v>
      </c>
      <c r="H337" s="1">
        <v>0.34870000000000001</v>
      </c>
      <c r="I337" s="1">
        <v>0.43209999999999998</v>
      </c>
      <c r="K337" s="1">
        <v>4.3321299638989172</v>
      </c>
    </row>
    <row r="338" spans="1:11" ht="15.75" customHeight="1" x14ac:dyDescent="0.3">
      <c r="A338" s="1" t="s">
        <v>224</v>
      </c>
      <c r="B338" s="1" t="s">
        <v>24</v>
      </c>
      <c r="C338" s="1" t="s">
        <v>218</v>
      </c>
      <c r="D338" s="1">
        <f>SQRT((F338^2 + H338^2 + G338^2 + I338^2)/4) * (1 + 1.4* SQRT(MAX(0, K338)/100) * (C338/490) * I338 + MAX(0, 1 - C338/490))</f>
        <v>1.0433723648309816</v>
      </c>
      <c r="E338" s="1">
        <v>4.137931</v>
      </c>
      <c r="F338" s="1">
        <v>0.94217799999999996</v>
      </c>
      <c r="G338" s="1">
        <v>1</v>
      </c>
      <c r="H338" s="1">
        <v>0.34870000000000001</v>
      </c>
      <c r="I338" s="1">
        <v>0.43209999999999998</v>
      </c>
      <c r="K338" s="1">
        <v>-4.4827586206896548</v>
      </c>
    </row>
    <row r="339" spans="1:11" ht="15.75" customHeight="1" x14ac:dyDescent="0.3">
      <c r="A339" s="1" t="s">
        <v>422</v>
      </c>
      <c r="B339" s="1" t="s">
        <v>24</v>
      </c>
      <c r="C339" s="1" t="s">
        <v>423</v>
      </c>
      <c r="D339" s="1">
        <f>SQRT((F339^2 + H339^2 + G339^2 + I339^2)/4) * (1 + 1.4* SQRT(MAX(0, K339)/100) * (C339/490) * I339 + MAX(0, 1 - C339/490))</f>
        <v>0.83183520794652122</v>
      </c>
      <c r="E339" s="1">
        <v>6.5420559999999996</v>
      </c>
      <c r="F339" s="1">
        <v>0.93416399999999999</v>
      </c>
      <c r="G339" s="1">
        <v>1</v>
      </c>
      <c r="H339" s="1">
        <v>0.34870000000000001</v>
      </c>
      <c r="I339" s="1">
        <v>0.43209999999999998</v>
      </c>
      <c r="K339" s="1">
        <v>-1.1682242990654206</v>
      </c>
    </row>
    <row r="340" spans="1:11" ht="15.75" customHeight="1" x14ac:dyDescent="0.3">
      <c r="A340" s="1" t="s">
        <v>444</v>
      </c>
      <c r="B340" s="1" t="s">
        <v>12</v>
      </c>
      <c r="C340" s="1" t="s">
        <v>445</v>
      </c>
      <c r="D340" s="1">
        <f>SQRT((F340^2 + H340^2 + G340^2 + I340^2)/4) * (1 + 1.4* SQRT(MAX(0, K340)/100) * (C340/490) * I340 + MAX(0, 1 - C340/490))</f>
        <v>0.80112415056019237</v>
      </c>
      <c r="E340" s="1">
        <v>3.4210530000000001</v>
      </c>
      <c r="F340" s="1">
        <v>0.96826800000000002</v>
      </c>
      <c r="G340" s="1">
        <v>1</v>
      </c>
      <c r="H340" s="1">
        <v>0.33129999999999998</v>
      </c>
      <c r="I340" s="1">
        <v>0.46929999999999999</v>
      </c>
      <c r="J340" s="1" t="s">
        <v>14</v>
      </c>
      <c r="K340" s="1">
        <v>0.39473684210526316</v>
      </c>
    </row>
    <row r="341" spans="1:11" ht="15.75" customHeight="1" x14ac:dyDescent="0.3">
      <c r="A341" s="1" t="s">
        <v>33</v>
      </c>
      <c r="B341" s="1" t="s">
        <v>16</v>
      </c>
      <c r="C341" s="1" t="s">
        <v>34</v>
      </c>
      <c r="D341" s="1">
        <f>SQRT((F341^2 + H341^2 + G341^2 + I341^2)/4) * (1 + 1.4* SQRT(MAX(0, K341)/100) * (C341/490) * I341 + MAX(0, 1 - C341/490))</f>
        <v>1.3485872758827908</v>
      </c>
      <c r="E341" s="1">
        <v>9.5238099999999992</v>
      </c>
      <c r="F341" s="1">
        <v>0.93087900000000001</v>
      </c>
      <c r="G341" s="1">
        <v>1</v>
      </c>
      <c r="H341" s="1">
        <v>0.34989999999999999</v>
      </c>
      <c r="I341" s="1">
        <v>0.43209999999999998</v>
      </c>
      <c r="K341" s="1">
        <v>-9.5238095238095237</v>
      </c>
    </row>
    <row r="342" spans="1:11" ht="15.75" customHeight="1" x14ac:dyDescent="0.3">
      <c r="A342" s="1" t="s">
        <v>276</v>
      </c>
      <c r="B342" s="1" t="s">
        <v>45</v>
      </c>
      <c r="C342" s="1" t="s">
        <v>277</v>
      </c>
      <c r="D342" s="1">
        <f>SQRT((F342^2 + H342^2 + G342^2 + I342^2)/4) * (1 + 1.4* SQRT(MAX(0, K342)/100) * (C342/490) * I342 + MAX(0, 1 - C342/490))</f>
        <v>0.96932282789271951</v>
      </c>
      <c r="E342" s="1">
        <v>1.1049720000000001</v>
      </c>
      <c r="F342" s="1">
        <v>0.93822300000000003</v>
      </c>
      <c r="G342" s="1">
        <v>1</v>
      </c>
      <c r="H342" s="1">
        <v>0.35520000000000002</v>
      </c>
      <c r="I342" s="1">
        <v>0.59689999999999999</v>
      </c>
      <c r="J342" s="1" t="s">
        <v>47</v>
      </c>
      <c r="K342" s="1">
        <v>-1.3812154696132597</v>
      </c>
    </row>
    <row r="343" spans="1:11" ht="15.75" customHeight="1" x14ac:dyDescent="0.3">
      <c r="A343" s="1" t="s">
        <v>344</v>
      </c>
      <c r="B343" s="1" t="s">
        <v>16</v>
      </c>
      <c r="C343" s="1" t="s">
        <v>345</v>
      </c>
      <c r="D343" s="1">
        <f>SQRT((F343^2 + H343^2 + G343^2 + I343^2)/4) * (1 + 1.4* SQRT(MAX(0, K343)/100) * (C343/490) * I343 + MAX(0, 1 - C343/490))</f>
        <v>0.90926897783612071</v>
      </c>
      <c r="E343" s="1">
        <v>4.7368420000000002</v>
      </c>
      <c r="F343" s="1">
        <v>0.94683600000000001</v>
      </c>
      <c r="G343" s="1">
        <v>1</v>
      </c>
      <c r="H343" s="1">
        <v>0.34989999999999999</v>
      </c>
      <c r="I343" s="1">
        <v>0.43209999999999998</v>
      </c>
      <c r="K343" s="1">
        <v>-2.1052631578947367</v>
      </c>
    </row>
    <row r="344" spans="1:11" ht="15.75" customHeight="1" x14ac:dyDescent="0.3">
      <c r="A344" s="1" t="s">
        <v>42</v>
      </c>
      <c r="B344" s="1" t="s">
        <v>16</v>
      </c>
      <c r="C344" s="1" t="s">
        <v>43</v>
      </c>
      <c r="D344" s="1">
        <f>SQRT((F344^2 + H344^2 + G344^2 + I344^2)/4) * (1 + 1.4* SQRT(MAX(0, K344)/100) * (C344/490) * I344 + MAX(0, 1 - C344/490))</f>
        <v>1.3153780722837491</v>
      </c>
      <c r="E344" s="1">
        <v>3.8095240000000001</v>
      </c>
      <c r="F344" s="1">
        <v>0.94992699999999997</v>
      </c>
      <c r="G344" s="1">
        <v>1</v>
      </c>
      <c r="H344" s="1">
        <v>0.34989999999999999</v>
      </c>
      <c r="I344" s="1">
        <v>0.43209999999999998</v>
      </c>
      <c r="K344" s="1">
        <v>58.095238095238095</v>
      </c>
    </row>
    <row r="345" spans="1:11" ht="15.75" customHeight="1" x14ac:dyDescent="0.3">
      <c r="A345" s="1" t="s">
        <v>670</v>
      </c>
      <c r="B345" s="1" t="s">
        <v>12</v>
      </c>
      <c r="C345" s="1" t="s">
        <v>671</v>
      </c>
      <c r="D345" s="1">
        <f>SQRT((F345^2 + H345^2 + G345^2 + I345^2)/4) * (1 + 1.4* SQRT(MAX(0, K345)/100) * (C345/490) * I345 + MAX(0, 1 - C345/490))</f>
        <v>0.65689504584563974</v>
      </c>
      <c r="E345" s="1">
        <v>0.63424899999999995</v>
      </c>
      <c r="F345" s="1">
        <v>0.97755700000000001</v>
      </c>
      <c r="G345" s="1">
        <v>0.378054</v>
      </c>
      <c r="H345" s="1">
        <v>0.33129999999999998</v>
      </c>
      <c r="I345" s="1">
        <v>0.46929999999999999</v>
      </c>
      <c r="J345" s="1" t="s">
        <v>14</v>
      </c>
      <c r="K345" s="1">
        <v>0.61168529846024045</v>
      </c>
    </row>
    <row r="346" spans="1:11" ht="15.75" customHeight="1" x14ac:dyDescent="0.3">
      <c r="A346" s="1" t="s">
        <v>654</v>
      </c>
      <c r="B346" s="1" t="s">
        <v>12</v>
      </c>
      <c r="C346" s="1" t="s">
        <v>655</v>
      </c>
      <c r="D346" s="1">
        <f>SQRT((F346^2 + H346^2 + G346^2 + I346^2)/4) * (1 + 1.4* SQRT(MAX(0, K346)/100) * (C346/490) * I346 + MAX(0, 1 - C346/490))</f>
        <v>0.66286910352082329</v>
      </c>
      <c r="E346" s="1">
        <v>0.23724799999999999</v>
      </c>
      <c r="F346" s="1">
        <v>0.978881</v>
      </c>
      <c r="G346" s="1">
        <v>0.68510700000000002</v>
      </c>
      <c r="H346" s="1">
        <v>0.33129999999999998</v>
      </c>
      <c r="I346" s="1">
        <v>0.46929999999999999</v>
      </c>
      <c r="J346" s="1" t="s">
        <v>14</v>
      </c>
      <c r="K346" s="1">
        <v>-0.21595356998245377</v>
      </c>
    </row>
    <row r="347" spans="1:11" ht="15.75" customHeight="1" x14ac:dyDescent="0.3">
      <c r="A347" s="1" t="s">
        <v>627</v>
      </c>
      <c r="B347" s="1" t="s">
        <v>45</v>
      </c>
      <c r="C347" s="1" t="s">
        <v>479</v>
      </c>
      <c r="D347" s="1">
        <f>SQRT((F347^2 + H347^2 + G347^2 + I347^2)/4) * (1 + 1.4* SQRT(MAX(0, K347)/100) * (C347/490) * I347 + MAX(0, 1 - C347/490))</f>
        <v>0.69821304117398886</v>
      </c>
      <c r="E347" s="1">
        <v>0</v>
      </c>
      <c r="F347" s="1">
        <v>0.94190700000000005</v>
      </c>
      <c r="G347" s="1">
        <v>0.69344600000000001</v>
      </c>
      <c r="H347" s="1">
        <v>0.35520000000000002</v>
      </c>
      <c r="I347" s="1">
        <v>0.59689999999999999</v>
      </c>
      <c r="J347" s="1" t="s">
        <v>47</v>
      </c>
      <c r="K347" s="1">
        <v>0</v>
      </c>
    </row>
    <row r="348" spans="1:11" ht="15.75" customHeight="1" x14ac:dyDescent="0.3">
      <c r="A348" s="1" t="s">
        <v>385</v>
      </c>
      <c r="B348" s="1" t="s">
        <v>45</v>
      </c>
      <c r="C348" s="1" t="s">
        <v>386</v>
      </c>
      <c r="D348" s="1">
        <f>SQRT((F348^2 + H348^2 + G348^2 + I348^2)/4) * (1 + 1.4* SQRT(MAX(0, K348)/100) * (C348/490) * I348 + MAX(0, 1 - C348/490))</f>
        <v>0.86775699879387369</v>
      </c>
      <c r="E348" s="1">
        <v>8.6021509999999992</v>
      </c>
      <c r="F348" s="1">
        <v>0.91323299999999996</v>
      </c>
      <c r="G348" s="1">
        <v>0.23167199999999999</v>
      </c>
      <c r="H348" s="1">
        <v>0.35520000000000002</v>
      </c>
      <c r="I348" s="1">
        <v>0.59689999999999999</v>
      </c>
      <c r="J348" s="1" t="s">
        <v>47</v>
      </c>
      <c r="K348" s="1">
        <v>1.1976047904191616</v>
      </c>
    </row>
    <row r="349" spans="1:11" ht="15.75" customHeight="1" x14ac:dyDescent="0.3">
      <c r="A349" s="1" t="s">
        <v>609</v>
      </c>
      <c r="B349" s="1" t="s">
        <v>49</v>
      </c>
      <c r="C349" s="1" t="s">
        <v>610</v>
      </c>
      <c r="D349" s="1">
        <f>SQRT((F349^2 + H349^2 + G349^2 + I349^2)/4) * (1 + 1.4* SQRT(MAX(0, K349)/100) * (C349/490) * I349 + MAX(0, 1 - C349/490))</f>
        <v>0.71929350969665706</v>
      </c>
      <c r="E349" s="1">
        <v>4.3360430000000001</v>
      </c>
      <c r="F349" s="1">
        <v>0.95927200000000001</v>
      </c>
      <c r="G349" s="1">
        <v>0.31709100000000001</v>
      </c>
      <c r="H349" s="1">
        <v>0.35149999999999998</v>
      </c>
      <c r="I349" s="1">
        <v>0.43209999999999998</v>
      </c>
      <c r="K349" s="1">
        <v>-0.46073074038358514</v>
      </c>
    </row>
    <row r="350" spans="1:11" ht="15.75" customHeight="1" x14ac:dyDescent="0.3">
      <c r="A350" s="1" t="s">
        <v>498</v>
      </c>
      <c r="B350" s="1" t="s">
        <v>24</v>
      </c>
      <c r="C350" s="1" t="s">
        <v>499</v>
      </c>
      <c r="D350" s="1">
        <f>SQRT((F350^2 + H350^2 + G350^2 + I350^2)/4) * (1 + 1.4* SQRT(MAX(0, K350)/100) * (C350/490) * I350 + MAX(0, 1 - C350/490))</f>
        <v>0.75287669490323395</v>
      </c>
      <c r="E350" s="1">
        <v>0.296296</v>
      </c>
      <c r="F350" s="1">
        <v>0.95498400000000006</v>
      </c>
      <c r="G350" s="1">
        <v>0.94417600000000002</v>
      </c>
      <c r="H350" s="1">
        <v>0.34870000000000001</v>
      </c>
      <c r="I350" s="1">
        <v>0.43209999999999998</v>
      </c>
      <c r="K350" s="1">
        <v>0.18839103869653767</v>
      </c>
    </row>
    <row r="351" spans="1:11" ht="15.75" customHeight="1" x14ac:dyDescent="0.3">
      <c r="A351" s="1" t="s">
        <v>699</v>
      </c>
      <c r="B351" s="1" t="s">
        <v>49</v>
      </c>
      <c r="C351" s="1" t="s">
        <v>700</v>
      </c>
      <c r="D351" s="1">
        <f>SQRT((F351^2 + H351^2 + G351^2 + I351^2)/4) * (1 + 1.4* SQRT(MAX(0, K351)/100) * (C351/490) * I351 + MAX(0, 1 - C351/490))</f>
        <v>0.63925471933212352</v>
      </c>
      <c r="E351" s="1">
        <v>5.7488650000000003</v>
      </c>
      <c r="F351" s="1">
        <v>0.95456300000000005</v>
      </c>
      <c r="G351" s="1">
        <v>0.55064800000000003</v>
      </c>
      <c r="H351" s="1">
        <v>0.35149999999999998</v>
      </c>
      <c r="I351" s="1">
        <v>0.43209999999999998</v>
      </c>
      <c r="K351" s="1">
        <v>0.18839103869653767</v>
      </c>
    </row>
    <row r="352" spans="1:11" ht="15.75" customHeight="1" x14ac:dyDescent="0.3">
      <c r="A352" s="1" t="s">
        <v>787</v>
      </c>
      <c r="B352" s="1" t="s">
        <v>49</v>
      </c>
      <c r="C352" s="1" t="s">
        <v>788</v>
      </c>
      <c r="D352" s="1">
        <f>SQRT((F352^2 + H352^2 + G352^2 + I352^2)/4) * (1 + 1.4* SQRT(MAX(0, K352)/100) * (C352/490) * I352 + MAX(0, 1 - C352/490))</f>
        <v>0.60788743200735784</v>
      </c>
      <c r="E352" s="1">
        <v>0.75661999999999996</v>
      </c>
      <c r="F352" s="1">
        <v>0.97120300000000004</v>
      </c>
      <c r="G352" s="1">
        <v>0.47393099999999999</v>
      </c>
      <c r="H352" s="1">
        <v>0.35149999999999998</v>
      </c>
      <c r="I352" s="1">
        <v>0.43209999999999998</v>
      </c>
      <c r="K352" s="1">
        <v>-0.46073074038358514</v>
      </c>
    </row>
    <row r="353" spans="1:11" ht="15.75" customHeight="1" x14ac:dyDescent="0.3">
      <c r="A353" s="1" t="s">
        <v>324</v>
      </c>
      <c r="B353" s="1" t="s">
        <v>36</v>
      </c>
      <c r="C353" s="1" t="s">
        <v>325</v>
      </c>
      <c r="D353" s="1">
        <f>SQRT((F353^2 + H353^2 + G353^2 + I353^2)/4) * (1 + 1.4* SQRT(MAX(0, K353)/100) * (C353/490) * I353 + MAX(0, 1 - C353/490))</f>
        <v>0.92480503315612039</v>
      </c>
      <c r="E353" s="1">
        <v>5.0955409999999999</v>
      </c>
      <c r="F353" s="1">
        <v>0.89845600000000003</v>
      </c>
      <c r="G353" s="1">
        <v>0.24512700000000001</v>
      </c>
      <c r="H353" s="1">
        <v>0.36220000000000002</v>
      </c>
      <c r="I353" s="1">
        <v>0.43209999999999998</v>
      </c>
      <c r="K353" s="1">
        <v>0.99826388888888884</v>
      </c>
    </row>
    <row r="354" spans="1:11" ht="15.75" customHeight="1" x14ac:dyDescent="0.3">
      <c r="A354" s="1" t="s">
        <v>630</v>
      </c>
      <c r="B354" s="1" t="s">
        <v>12</v>
      </c>
      <c r="C354" s="1" t="s">
        <v>631</v>
      </c>
      <c r="D354" s="1">
        <f>SQRT((F354^2 + H354^2 + G354^2 + I354^2)/4) * (1 + 1.4* SQRT(MAX(0, K354)/100) * (C354/490) * I354 + MAX(0, 1 - C354/490))</f>
        <v>0.68767377673154939</v>
      </c>
      <c r="E354" s="1">
        <v>0.392542</v>
      </c>
      <c r="F354" s="1">
        <v>0.97836299999999998</v>
      </c>
      <c r="G354" s="1">
        <v>0.50672700000000004</v>
      </c>
      <c r="H354" s="1">
        <v>0.33129999999999998</v>
      </c>
      <c r="I354" s="1">
        <v>0.46929999999999999</v>
      </c>
      <c r="J354" s="1" t="s">
        <v>14</v>
      </c>
      <c r="K354" s="1">
        <v>0.61168529846024045</v>
      </c>
    </row>
    <row r="355" spans="1:11" ht="15.75" customHeight="1" x14ac:dyDescent="0.3">
      <c r="A355" s="1" t="s">
        <v>738</v>
      </c>
      <c r="B355" s="1" t="s">
        <v>12</v>
      </c>
      <c r="C355" s="1" t="s">
        <v>739</v>
      </c>
      <c r="D355" s="1">
        <f>SQRT((F355^2 + H355^2 + G355^2 + I355^2)/4) * (1 + 1.4* SQRT(MAX(0, K355)/100) * (C355/490) * I355 + MAX(0, 1 - C355/490))</f>
        <v>0.62424037963291834</v>
      </c>
      <c r="E355" s="1">
        <v>0.326264</v>
      </c>
      <c r="F355" s="1">
        <v>0.97858400000000001</v>
      </c>
      <c r="G355" s="1">
        <v>0.52064900000000003</v>
      </c>
      <c r="H355" s="1">
        <v>0.33129999999999998</v>
      </c>
      <c r="I355" s="1">
        <v>0.46929999999999999</v>
      </c>
      <c r="J355" s="1" t="s">
        <v>14</v>
      </c>
      <c r="K355" s="1">
        <v>-0.21595356998245377</v>
      </c>
    </row>
    <row r="356" spans="1:11" ht="15.75" customHeight="1" x14ac:dyDescent="0.3">
      <c r="A356" s="1" t="s">
        <v>595</v>
      </c>
      <c r="B356" s="1" t="s">
        <v>12</v>
      </c>
      <c r="C356" s="1" t="s">
        <v>596</v>
      </c>
      <c r="D356" s="1">
        <f>SQRT((F356^2 + H356^2 + G356^2 + I356^2)/4) * (1 + 1.4* SQRT(MAX(0, K356)/100) * (C356/490) * I356 + MAX(0, 1 - C356/490))</f>
        <v>0.73155861033481273</v>
      </c>
      <c r="E356" s="1">
        <v>8.6956520000000008</v>
      </c>
      <c r="F356" s="1">
        <v>0.95068600000000003</v>
      </c>
      <c r="G356" s="1">
        <v>0.202186</v>
      </c>
      <c r="H356" s="1">
        <v>0.33129999999999998</v>
      </c>
      <c r="I356" s="1">
        <v>0.46929999999999999</v>
      </c>
      <c r="J356" s="1" t="s">
        <v>14</v>
      </c>
      <c r="K356" s="1">
        <v>-0.21595356998245377</v>
      </c>
    </row>
    <row r="357" spans="1:11" ht="15.75" customHeight="1" x14ac:dyDescent="0.3">
      <c r="A357" s="1" t="s">
        <v>719</v>
      </c>
      <c r="B357" s="1" t="s">
        <v>49</v>
      </c>
      <c r="C357" s="1" t="s">
        <v>644</v>
      </c>
      <c r="D357" s="1">
        <f>SQRT((F357^2 + H357^2 + G357^2 + I357^2)/4) * (1 + 1.4* SQRT(MAX(0, K357)/100) * (C357/490) * I357 + MAX(0, 1 - C357/490))</f>
        <v>0.6352324826188106</v>
      </c>
      <c r="E357" s="1">
        <v>0.90415900000000005</v>
      </c>
      <c r="F357" s="1">
        <v>0.97071200000000002</v>
      </c>
      <c r="G357" s="1">
        <v>0.51958400000000005</v>
      </c>
      <c r="H357" s="1">
        <v>0.35149999999999998</v>
      </c>
      <c r="I357" s="1">
        <v>0.43209999999999998</v>
      </c>
      <c r="K357" s="1">
        <v>0.18839103869653767</v>
      </c>
    </row>
    <row r="358" spans="1:11" ht="15.75" customHeight="1" x14ac:dyDescent="0.3">
      <c r="A358" s="1" t="s">
        <v>851</v>
      </c>
      <c r="B358" s="1" t="s">
        <v>49</v>
      </c>
      <c r="C358" s="1" t="s">
        <v>852</v>
      </c>
      <c r="D358" s="1">
        <f>SQRT((F358^2 + H358^2 + G358^2 + I358^2)/4) * (1 + 1.4* SQRT(MAX(0, K358)/100) * (C358/490) * I358 + MAX(0, 1 - C358/490))</f>
        <v>0.57904389356097175</v>
      </c>
      <c r="E358" s="1">
        <v>2.2950819999999998</v>
      </c>
      <c r="F358" s="1">
        <v>0.96607500000000002</v>
      </c>
      <c r="G358" s="1">
        <v>0.31241600000000003</v>
      </c>
      <c r="H358" s="1">
        <v>0.35149999999999998</v>
      </c>
      <c r="I358" s="1">
        <v>0.43209999999999998</v>
      </c>
      <c r="K358" s="1">
        <v>-0.46073074038358514</v>
      </c>
    </row>
    <row r="359" spans="1:11" ht="15.75" customHeight="1" x14ac:dyDescent="0.3">
      <c r="A359" s="1" t="s">
        <v>582</v>
      </c>
      <c r="B359" s="1" t="s">
        <v>16</v>
      </c>
      <c r="C359" s="1" t="s">
        <v>583</v>
      </c>
      <c r="D359" s="1">
        <f>SQRT((F359^2 + H359^2 + G359^2 + I359^2)/4) * (1 + 1.4* SQRT(MAX(0, K359)/100) * (C359/490) * I359 + MAX(0, 1 - C359/490))</f>
        <v>0.74174122091619665</v>
      </c>
      <c r="E359" s="1">
        <v>5.5172410000000003</v>
      </c>
      <c r="F359" s="1">
        <v>0.94423500000000005</v>
      </c>
      <c r="G359" s="1">
        <v>1</v>
      </c>
      <c r="H359" s="1">
        <v>0.34989999999999999</v>
      </c>
      <c r="I359" s="1">
        <v>0.43209999999999998</v>
      </c>
      <c r="K359" s="1">
        <v>-4.8275862068965516</v>
      </c>
    </row>
    <row r="360" spans="1:11" ht="15.75" customHeight="1" x14ac:dyDescent="0.3">
      <c r="A360" s="1" t="s">
        <v>746</v>
      </c>
      <c r="B360" s="1" t="s">
        <v>12</v>
      </c>
      <c r="C360" s="1" t="s">
        <v>747</v>
      </c>
      <c r="D360" s="1">
        <f>SQRT((F360^2 + H360^2 + G360^2 + I360^2)/4) * (1 + 1.4* SQRT(MAX(0, K360)/100) * (C360/490) * I360 + MAX(0, 1 - C360/490))</f>
        <v>0.62152676202417068</v>
      </c>
      <c r="E360" s="1">
        <v>1.588878</v>
      </c>
      <c r="F360" s="1">
        <v>0.97437499999999999</v>
      </c>
      <c r="G360" s="1">
        <v>0.51553199999999999</v>
      </c>
      <c r="H360" s="1">
        <v>0.33129999999999998</v>
      </c>
      <c r="I360" s="1">
        <v>0.46929999999999999</v>
      </c>
      <c r="J360" s="1" t="s">
        <v>14</v>
      </c>
      <c r="K360" s="1">
        <v>-0.21595356998245377</v>
      </c>
    </row>
    <row r="361" spans="1:11" ht="15.75" customHeight="1" x14ac:dyDescent="0.3">
      <c r="A361" s="1" t="s">
        <v>697</v>
      </c>
      <c r="B361" s="1" t="s">
        <v>12</v>
      </c>
      <c r="C361" s="1" t="s">
        <v>698</v>
      </c>
      <c r="D361" s="1">
        <f>SQRT((F361^2 + H361^2 + G361^2 + I361^2)/4) * (1 + 1.4* SQRT(MAX(0, K361)/100) * (C361/490) * I361 + MAX(0, 1 - C361/490))</f>
        <v>0.63925919103451379</v>
      </c>
      <c r="E361" s="1">
        <v>3.3591730000000002</v>
      </c>
      <c r="F361" s="1">
        <v>0.96847399999999995</v>
      </c>
      <c r="G361" s="1">
        <v>0.36116799999999999</v>
      </c>
      <c r="H361" s="1">
        <v>0.33129999999999998</v>
      </c>
      <c r="I361" s="1">
        <v>0.46929999999999999</v>
      </c>
      <c r="J361" s="1" t="s">
        <v>14</v>
      </c>
      <c r="K361" s="1">
        <v>0.61168529846024045</v>
      </c>
    </row>
    <row r="362" spans="1:11" ht="15.75" customHeight="1" x14ac:dyDescent="0.3">
      <c r="A362" s="1" t="s">
        <v>453</v>
      </c>
      <c r="B362" s="1" t="s">
        <v>21</v>
      </c>
      <c r="C362" s="1" t="s">
        <v>454</v>
      </c>
      <c r="D362" s="1">
        <f>SQRT((F362^2 + H362^2 + G362^2 + I362^2)/4) * (1 + 1.4* SQRT(MAX(0, K362)/100) * (C362/490) * I362 + MAX(0, 1 - C362/490))</f>
        <v>0.78989705519240672</v>
      </c>
      <c r="E362" s="1">
        <v>1.880878</v>
      </c>
      <c r="F362" s="1">
        <v>0.96344799999999997</v>
      </c>
      <c r="G362" s="1">
        <v>0.27783099999999999</v>
      </c>
      <c r="H362" s="1">
        <v>0.3493</v>
      </c>
      <c r="I362" s="1">
        <v>0.43209999999999998</v>
      </c>
      <c r="K362" s="1">
        <v>0.54655475307437051</v>
      </c>
    </row>
    <row r="363" spans="1:11" ht="15.75" customHeight="1" x14ac:dyDescent="0.3">
      <c r="A363" s="1" t="s">
        <v>706</v>
      </c>
      <c r="B363" s="1" t="s">
        <v>12</v>
      </c>
      <c r="C363" s="1" t="s">
        <v>707</v>
      </c>
      <c r="D363" s="1">
        <f>SQRT((F363^2 + H363^2 + G363^2 + I363^2)/4) * (1 + 1.4* SQRT(MAX(0, K363)/100) * (C363/490) * I363 + MAX(0, 1 - C363/490))</f>
        <v>0.63798278256429208</v>
      </c>
      <c r="E363" s="1">
        <v>3.661327</v>
      </c>
      <c r="F363" s="1">
        <v>0.96746699999999997</v>
      </c>
      <c r="G363" s="1">
        <v>0.244504</v>
      </c>
      <c r="H363" s="1">
        <v>0.33129999999999998</v>
      </c>
      <c r="I363" s="1">
        <v>0.46929999999999999</v>
      </c>
      <c r="J363" s="1" t="s">
        <v>14</v>
      </c>
      <c r="K363" s="1">
        <v>-0.21595356998245377</v>
      </c>
    </row>
    <row r="364" spans="1:11" ht="15.75" customHeight="1" x14ac:dyDescent="0.3">
      <c r="A364" s="1" t="s">
        <v>424</v>
      </c>
      <c r="B364" s="1" t="s">
        <v>16</v>
      </c>
      <c r="C364" s="1" t="s">
        <v>425</v>
      </c>
      <c r="D364" s="1">
        <f>SQRT((F364^2 + H364^2 + G364^2 + I364^2)/4) * (1 + 1.4* SQRT(MAX(0, K364)/100) * (C364/490) * I364 + MAX(0, 1 - C364/490))</f>
        <v>0.83108694434248842</v>
      </c>
      <c r="E364" s="1">
        <v>3.891051</v>
      </c>
      <c r="F364" s="1">
        <v>0.94965500000000003</v>
      </c>
      <c r="G364" s="1">
        <v>0.21459700000000001</v>
      </c>
      <c r="H364" s="1">
        <v>0.34989999999999999</v>
      </c>
      <c r="I364" s="1">
        <v>0.43209999999999998</v>
      </c>
      <c r="K364" s="1">
        <v>4.8899755501222497E-2</v>
      </c>
    </row>
    <row r="365" spans="1:11" ht="15.75" customHeight="1" x14ac:dyDescent="0.3">
      <c r="A365" s="1" t="s">
        <v>829</v>
      </c>
      <c r="B365" s="1" t="s">
        <v>21</v>
      </c>
      <c r="C365" s="1" t="s">
        <v>830</v>
      </c>
      <c r="D365" s="1">
        <f>SQRT((F365^2 + H365^2 + G365^2 + I365^2)/4) * (1 + 1.4* SQRT(MAX(0, K365)/100) * (C365/490) * I365 + MAX(0, 1 - C365/490))</f>
        <v>0.5893895887655719</v>
      </c>
      <c r="E365" s="1">
        <v>1.6355139999999999</v>
      </c>
      <c r="F365" s="1">
        <v>0.96426599999999996</v>
      </c>
      <c r="G365" s="1">
        <v>0.388575</v>
      </c>
      <c r="H365" s="1">
        <v>0.3493</v>
      </c>
      <c r="I365" s="1">
        <v>0.43209999999999998</v>
      </c>
      <c r="K365" s="1">
        <v>-0.81769187883293071</v>
      </c>
    </row>
    <row r="366" spans="1:11" ht="15.75" customHeight="1" x14ac:dyDescent="0.3">
      <c r="A366" s="1" t="s">
        <v>752</v>
      </c>
      <c r="B366" s="1" t="s">
        <v>21</v>
      </c>
      <c r="C366" s="1" t="s">
        <v>726</v>
      </c>
      <c r="D366" s="1">
        <f>SQRT((F366^2 + H366^2 + G366^2 + I366^2)/4) * (1 + 1.4* SQRT(MAX(0, K366)/100) * (C366/490) * I366 + MAX(0, 1 - C366/490))</f>
        <v>0.61845433557304952</v>
      </c>
      <c r="E366" s="1">
        <v>6.6763430000000001</v>
      </c>
      <c r="F366" s="1">
        <v>0.94746399999999997</v>
      </c>
      <c r="G366" s="1">
        <v>0.37231599999999998</v>
      </c>
      <c r="H366" s="1">
        <v>0.3493</v>
      </c>
      <c r="I366" s="1">
        <v>0.43209999999999998</v>
      </c>
      <c r="K366" s="1">
        <v>0.61168529846024045</v>
      </c>
    </row>
    <row r="367" spans="1:11" ht="15.75" customHeight="1" x14ac:dyDescent="0.3">
      <c r="A367" s="1" t="s">
        <v>841</v>
      </c>
      <c r="B367" s="1" t="s">
        <v>21</v>
      </c>
      <c r="C367" s="1" t="s">
        <v>756</v>
      </c>
      <c r="D367" s="1">
        <f>SQRT((F367^2 + H367^2 + G367^2 + I367^2)/4) * (1 + 1.4* SQRT(MAX(0, K367)/100) * (C367/490) * I367 + MAX(0, 1 - C367/490))</f>
        <v>0.58388343193868764</v>
      </c>
      <c r="E367" s="1">
        <v>2.8526150000000001</v>
      </c>
      <c r="F367" s="1">
        <v>0.96020899999999998</v>
      </c>
      <c r="G367" s="1">
        <v>0.36463299999999998</v>
      </c>
      <c r="H367" s="1">
        <v>0.3493</v>
      </c>
      <c r="I367" s="1">
        <v>0.43209999999999998</v>
      </c>
      <c r="K367" s="1">
        <v>-0.81769187883293071</v>
      </c>
    </row>
    <row r="368" spans="1:11" ht="15.75" customHeight="1" x14ac:dyDescent="0.3">
      <c r="A368" s="1" t="s">
        <v>684</v>
      </c>
      <c r="B368" s="1" t="s">
        <v>12</v>
      </c>
      <c r="C368" s="1" t="s">
        <v>685</v>
      </c>
      <c r="D368" s="1">
        <f>SQRT((F368^2 + H368^2 + G368^2 + I368^2)/4) * (1 + 1.4* SQRT(MAX(0, K368)/100) * (C368/490) * I368 + MAX(0, 1 - C368/490))</f>
        <v>0.64977441207434872</v>
      </c>
      <c r="E368" s="1">
        <v>3.9911310000000002</v>
      </c>
      <c r="F368" s="1">
        <v>0.966368</v>
      </c>
      <c r="G368" s="1">
        <v>0.430259</v>
      </c>
      <c r="H368" s="1">
        <v>0.33129999999999998</v>
      </c>
      <c r="I368" s="1">
        <v>0.46929999999999999</v>
      </c>
      <c r="J368" s="1" t="s">
        <v>14</v>
      </c>
      <c r="K368" s="1">
        <v>-0.21595356998245377</v>
      </c>
    </row>
    <row r="369" spans="1:11" ht="15.75" customHeight="1" x14ac:dyDescent="0.3">
      <c r="A369" s="1" t="s">
        <v>777</v>
      </c>
      <c r="B369" s="1" t="s">
        <v>12</v>
      </c>
      <c r="C369" s="1" t="s">
        <v>479</v>
      </c>
      <c r="D369" s="1">
        <f>SQRT((F369^2 + H369^2 + G369^2 + I369^2)/4) * (1 + 1.4* SQRT(MAX(0, K369)/100) * (C369/490) * I369 + MAX(0, 1 - C369/490))</f>
        <v>0.61076389259177954</v>
      </c>
      <c r="E369" s="1">
        <v>1.257862</v>
      </c>
      <c r="F369" s="1">
        <v>0.97547899999999998</v>
      </c>
      <c r="G369" s="1">
        <v>0.36665700000000001</v>
      </c>
      <c r="H369" s="1">
        <v>0.33129999999999998</v>
      </c>
      <c r="I369" s="1">
        <v>0.46929999999999999</v>
      </c>
      <c r="J369" s="1" t="s">
        <v>14</v>
      </c>
      <c r="K369" s="1">
        <v>-0.21595356998245377</v>
      </c>
    </row>
    <row r="370" spans="1:11" ht="15.75" customHeight="1" x14ac:dyDescent="0.3">
      <c r="A370" s="1" t="s">
        <v>229</v>
      </c>
      <c r="B370" s="1" t="s">
        <v>12</v>
      </c>
      <c r="C370" s="1" t="s">
        <v>178</v>
      </c>
      <c r="D370" s="1">
        <f>SQRT((F370^2 + H370^2 + G370^2 + I370^2)/4) * (1 + 1.4* SQRT(MAX(0, K370)/100) * (C370/490) * I370 + MAX(0, 1 - C370/490))</f>
        <v>1.0303354081263536</v>
      </c>
      <c r="E370" s="1">
        <v>6.1349689999999999</v>
      </c>
      <c r="F370" s="1">
        <v>0.95922200000000002</v>
      </c>
      <c r="G370" s="1">
        <v>0.52662600000000004</v>
      </c>
      <c r="H370" s="1">
        <v>0.33129999999999998</v>
      </c>
      <c r="I370" s="1">
        <v>0.46929999999999999</v>
      </c>
      <c r="J370" s="1" t="s">
        <v>14</v>
      </c>
      <c r="K370" s="1">
        <v>-0.21595356998245377</v>
      </c>
    </row>
    <row r="371" spans="1:11" ht="15.75" customHeight="1" x14ac:dyDescent="0.3">
      <c r="A371" s="1" t="s">
        <v>619</v>
      </c>
      <c r="B371" s="1" t="s">
        <v>21</v>
      </c>
      <c r="C371" s="1" t="s">
        <v>620</v>
      </c>
      <c r="D371" s="1">
        <f>SQRT((F371^2 + H371^2 + G371^2 + I371^2)/4) * (1 + 1.4* SQRT(MAX(0, K371)/100) * (C371/490) * I371 + MAX(0, 1 - C371/490))</f>
        <v>0.70227670429903466</v>
      </c>
      <c r="E371" s="1">
        <v>4.0404039999999997</v>
      </c>
      <c r="F371" s="1">
        <v>0.95625000000000004</v>
      </c>
      <c r="G371" s="1">
        <v>0.29176099999999999</v>
      </c>
      <c r="H371" s="1">
        <v>0.3493</v>
      </c>
      <c r="I371" s="1">
        <v>0.43209999999999998</v>
      </c>
      <c r="K371" s="1">
        <v>0.54655475307437051</v>
      </c>
    </row>
    <row r="372" spans="1:11" ht="15.75" customHeight="1" x14ac:dyDescent="0.3">
      <c r="A372" s="1" t="s">
        <v>90</v>
      </c>
      <c r="B372" s="1" t="s">
        <v>87</v>
      </c>
      <c r="C372" s="1" t="s">
        <v>88</v>
      </c>
      <c r="D372" s="1">
        <f>SQRT((F372^2 + H372^2 + G372^2 + I372^2)/4) * (1 + 1.4* SQRT(MAX(0, K372)/100) * (C372/490) * I372 + MAX(0, 1 - C372/490))</f>
        <v>1.225702868537522</v>
      </c>
      <c r="E372" s="1">
        <v>0</v>
      </c>
      <c r="F372" s="1">
        <v>0.88136999999999999</v>
      </c>
      <c r="G372" s="1">
        <v>0.69344600000000001</v>
      </c>
      <c r="H372" s="1">
        <v>0.32900000000000001</v>
      </c>
      <c r="I372" s="1">
        <v>0.43209999999999998</v>
      </c>
      <c r="K372" s="1">
        <v>0</v>
      </c>
    </row>
    <row r="373" spans="1:11" ht="15.75" customHeight="1" x14ac:dyDescent="0.3">
      <c r="A373" s="1" t="s">
        <v>93</v>
      </c>
      <c r="B373" s="1" t="s">
        <v>87</v>
      </c>
      <c r="C373" s="1" t="s">
        <v>92</v>
      </c>
      <c r="D373" s="1">
        <f>SQRT((F373^2 + H373^2 + G373^2 + I373^2)/4) * (1 + 1.4* SQRT(MAX(0, K373)/100) * (C373/490) * I373 + MAX(0, 1 - C373/490))</f>
        <v>1.221888440523401</v>
      </c>
      <c r="E373" s="1">
        <v>0</v>
      </c>
      <c r="F373" s="1">
        <v>0.88136999999999999</v>
      </c>
      <c r="G373" s="1">
        <v>0.69344600000000001</v>
      </c>
      <c r="H373" s="1">
        <v>0.32900000000000001</v>
      </c>
      <c r="I373" s="1">
        <v>0.43209999999999998</v>
      </c>
      <c r="K373" s="1">
        <v>0</v>
      </c>
    </row>
    <row r="374" spans="1:11" ht="15.75" customHeight="1" x14ac:dyDescent="0.3">
      <c r="A374" s="1" t="s">
        <v>316</v>
      </c>
      <c r="B374" s="1" t="s">
        <v>21</v>
      </c>
      <c r="C374" s="1" t="s">
        <v>317</v>
      </c>
      <c r="D374" s="1">
        <f>SQRT((F374^2 + H374^2 + G374^2 + I374^2)/4) * (1 + 1.4* SQRT(MAX(0, K374)/100) * (C374/490) * I374 + MAX(0, 1 - C374/490))</f>
        <v>0.93156724691274728</v>
      </c>
      <c r="E374" s="1">
        <v>7.1232879999999996</v>
      </c>
      <c r="F374" s="1">
        <v>0.94597399999999998</v>
      </c>
      <c r="G374" s="1">
        <v>1</v>
      </c>
      <c r="H374" s="1">
        <v>0.3493</v>
      </c>
      <c r="I374" s="1">
        <v>0.43209999999999998</v>
      </c>
      <c r="K374" s="1">
        <v>-2.4657534246575343</v>
      </c>
    </row>
    <row r="375" spans="1:11" ht="15.75" customHeight="1" x14ac:dyDescent="0.3">
      <c r="A375" s="1" t="s">
        <v>379</v>
      </c>
      <c r="B375" s="1" t="s">
        <v>24</v>
      </c>
      <c r="C375" s="1" t="s">
        <v>380</v>
      </c>
      <c r="D375" s="1">
        <f>SQRT((F375^2 + H375^2 + G375^2 + I375^2)/4) * (1 + 1.4* SQRT(MAX(0, K375)/100) * (C375/490) * I375 + MAX(0, 1 - C375/490))</f>
        <v>0.87655136657994881</v>
      </c>
      <c r="E375" s="1">
        <v>3.8277510000000001</v>
      </c>
      <c r="F375" s="1">
        <v>0.94321200000000005</v>
      </c>
      <c r="G375" s="1">
        <v>0.20835100000000001</v>
      </c>
      <c r="H375" s="1">
        <v>0.34870000000000001</v>
      </c>
      <c r="I375" s="1">
        <v>0.43209999999999998</v>
      </c>
      <c r="K375" s="1">
        <v>-2.4793388429752068</v>
      </c>
    </row>
    <row r="376" spans="1:11" ht="15.75" customHeight="1" x14ac:dyDescent="0.3">
      <c r="A376" s="1" t="s">
        <v>396</v>
      </c>
      <c r="B376" s="1" t="s">
        <v>16</v>
      </c>
      <c r="C376" s="1" t="s">
        <v>397</v>
      </c>
      <c r="D376" s="1">
        <f>SQRT((F376^2 + H376^2 + G376^2 + I376^2)/4) * (1 + 1.4* SQRT(MAX(0, K376)/100) * (C376/490) * I376 + MAX(0, 1 - C376/490))</f>
        <v>0.85279877092076706</v>
      </c>
      <c r="E376" s="1">
        <v>4.6511630000000004</v>
      </c>
      <c r="F376" s="1">
        <v>0.94712200000000002</v>
      </c>
      <c r="G376" s="1">
        <v>0.34784500000000002</v>
      </c>
      <c r="H376" s="1">
        <v>0.34989999999999999</v>
      </c>
      <c r="I376" s="1">
        <v>0.43209999999999998</v>
      </c>
      <c r="K376" s="1">
        <v>4.8899755501222497E-2</v>
      </c>
    </row>
    <row r="377" spans="1:11" ht="15.75" customHeight="1" x14ac:dyDescent="0.3">
      <c r="A377" s="1" t="s">
        <v>763</v>
      </c>
      <c r="B377" s="1" t="s">
        <v>24</v>
      </c>
      <c r="C377" s="1" t="s">
        <v>764</v>
      </c>
      <c r="D377" s="1">
        <f>SQRT((F377^2 + H377^2 + G377^2 + I377^2)/4) * (1 + 1.4* SQRT(MAX(0, K377)/100) * (C377/490) * I377 + MAX(0, 1 - C377/490))</f>
        <v>0.61471215759431719</v>
      </c>
      <c r="E377" s="1">
        <v>6.5604500000000003</v>
      </c>
      <c r="F377" s="1">
        <v>0.93410300000000002</v>
      </c>
      <c r="G377" s="1">
        <v>0.41420099999999999</v>
      </c>
      <c r="H377" s="1">
        <v>0.34870000000000001</v>
      </c>
      <c r="I377" s="1">
        <v>0.43209999999999998</v>
      </c>
      <c r="K377" s="1">
        <v>0.18839103869653767</v>
      </c>
    </row>
    <row r="378" spans="1:11" ht="15.75" customHeight="1" x14ac:dyDescent="0.3">
      <c r="A378" s="1" t="s">
        <v>847</v>
      </c>
      <c r="B378" s="1" t="s">
        <v>21</v>
      </c>
      <c r="C378" s="1" t="s">
        <v>848</v>
      </c>
      <c r="D378" s="1">
        <f>SQRT((F378^2 + H378^2 + G378^2 + I378^2)/4) * (1 + 1.4* SQRT(MAX(0, K378)/100) * (C378/490) * I378 + MAX(0, 1 - C378/490))</f>
        <v>0.5808937241721418</v>
      </c>
      <c r="E378" s="1">
        <v>3.326403</v>
      </c>
      <c r="F378" s="1">
        <v>0.95862999999999998</v>
      </c>
      <c r="G378" s="1">
        <v>0.271677</v>
      </c>
      <c r="H378" s="1">
        <v>0.3493</v>
      </c>
      <c r="I378" s="1">
        <v>0.43209999999999998</v>
      </c>
      <c r="K378" s="1">
        <v>0</v>
      </c>
    </row>
    <row r="379" spans="1:11" ht="15.75" customHeight="1" x14ac:dyDescent="0.3">
      <c r="A379" s="1" t="s">
        <v>377</v>
      </c>
      <c r="B379" s="1" t="s">
        <v>21</v>
      </c>
      <c r="C379" s="1" t="s">
        <v>378</v>
      </c>
      <c r="D379" s="1">
        <f>SQRT((F379^2 + H379^2 + G379^2 + I379^2)/4) * (1 + 1.4* SQRT(MAX(0, K379)/100) * (C379/490) * I379 + MAX(0, 1 - C379/490))</f>
        <v>0.88125837161572163</v>
      </c>
      <c r="E379" s="1">
        <v>7.5</v>
      </c>
      <c r="F379" s="1">
        <v>0.94471799999999995</v>
      </c>
      <c r="G379" s="1">
        <v>0.34953499999999998</v>
      </c>
      <c r="H379" s="1">
        <v>0.3493</v>
      </c>
      <c r="I379" s="1">
        <v>0.43209999999999998</v>
      </c>
      <c r="K379" s="1">
        <v>0.54655475307437051</v>
      </c>
    </row>
    <row r="380" spans="1:11" ht="15.75" customHeight="1" x14ac:dyDescent="0.3">
      <c r="A380" s="1" t="s">
        <v>871</v>
      </c>
      <c r="B380" s="1" t="s">
        <v>49</v>
      </c>
      <c r="C380" s="1" t="s">
        <v>872</v>
      </c>
      <c r="D380" s="1">
        <f>SQRT((F380^2 + H380^2 + G380^2 + I380^2)/4) * (1 + 1.4* SQRT(MAX(0, K380)/100) * (C380/490) * I380 + MAX(0, 1 - C380/490))</f>
        <v>0.56066984830312572</v>
      </c>
      <c r="E380" s="1">
        <v>0.63559299999999996</v>
      </c>
      <c r="F380" s="1">
        <v>0.971607</v>
      </c>
      <c r="G380" s="1">
        <v>5.5856000000000003E-2</v>
      </c>
      <c r="H380" s="1">
        <v>0.35149999999999998</v>
      </c>
      <c r="I380" s="1">
        <v>0.43209999999999998</v>
      </c>
      <c r="K380" s="1">
        <v>0</v>
      </c>
    </row>
    <row r="381" spans="1:11" ht="15.75" customHeight="1" x14ac:dyDescent="0.3">
      <c r="A381" s="1" t="s">
        <v>592</v>
      </c>
      <c r="B381" s="1" t="s">
        <v>49</v>
      </c>
      <c r="C381" s="1" t="s">
        <v>277</v>
      </c>
      <c r="D381" s="1">
        <f>SQRT((F381^2 + H381^2 + G381^2 + I381^2)/4) * (1 + 1.4* SQRT(MAX(0, K381)/100) * (C381/490) * I381 + MAX(0, 1 - C381/490))</f>
        <v>0.73891583002245764</v>
      </c>
      <c r="E381" s="1">
        <v>0.55248600000000003</v>
      </c>
      <c r="F381" s="1">
        <v>0.97188399999999997</v>
      </c>
      <c r="G381" s="1">
        <v>0.236568</v>
      </c>
      <c r="H381" s="1">
        <v>0.35149999999999998</v>
      </c>
      <c r="I381" s="1">
        <v>0.43209999999999998</v>
      </c>
      <c r="K381" s="1">
        <v>0.43795620437956206</v>
      </c>
    </row>
    <row r="382" spans="1:11" ht="15.75" customHeight="1" x14ac:dyDescent="0.3">
      <c r="A382" s="1" t="s">
        <v>821</v>
      </c>
      <c r="B382" s="1" t="s">
        <v>49</v>
      </c>
      <c r="C382" s="1" t="s">
        <v>822</v>
      </c>
      <c r="D382" s="1">
        <f>SQRT((F382^2 + H382^2 + G382^2 + I382^2)/4) * (1 + 1.4* SQRT(MAX(0, K382)/100) * (C382/490) * I382 + MAX(0, 1 - C382/490))</f>
        <v>0.59320766183942697</v>
      </c>
      <c r="E382" s="1">
        <v>1.8641810000000001</v>
      </c>
      <c r="F382" s="1">
        <v>0.96751200000000004</v>
      </c>
      <c r="G382" s="1">
        <v>0.40154600000000001</v>
      </c>
      <c r="H382" s="1">
        <v>0.35149999999999998</v>
      </c>
      <c r="I382" s="1">
        <v>0.43209999999999998</v>
      </c>
      <c r="K382" s="1">
        <v>-0.46073074038358514</v>
      </c>
    </row>
    <row r="383" spans="1:11" ht="15.75" customHeight="1" x14ac:dyDescent="0.3">
      <c r="A383" s="1" t="s">
        <v>778</v>
      </c>
      <c r="B383" s="1" t="s">
        <v>49</v>
      </c>
      <c r="C383" s="1" t="s">
        <v>779</v>
      </c>
      <c r="D383" s="1">
        <f>SQRT((F383^2 + H383^2 + G383^2 + I383^2)/4) * (1 + 1.4* SQRT(MAX(0, K383)/100) * (C383/490) * I383 + MAX(0, 1 - C383/490))</f>
        <v>0.61051114392538686</v>
      </c>
      <c r="E383" s="1">
        <v>2.6272579999999999</v>
      </c>
      <c r="F383" s="1">
        <v>0.96496800000000005</v>
      </c>
      <c r="G383" s="1">
        <v>0.39588800000000002</v>
      </c>
      <c r="H383" s="1">
        <v>0.35149999999999998</v>
      </c>
      <c r="I383" s="1">
        <v>0.43209999999999998</v>
      </c>
      <c r="K383" s="1">
        <v>0.18839103869653767</v>
      </c>
    </row>
    <row r="384" spans="1:11" ht="15.75" customHeight="1" x14ac:dyDescent="0.3">
      <c r="A384" s="1" t="s">
        <v>293</v>
      </c>
      <c r="B384" s="1" t="s">
        <v>49</v>
      </c>
      <c r="C384" s="1" t="s">
        <v>294</v>
      </c>
      <c r="D384" s="1">
        <f>SQRT((F384^2 + H384^2 + G384^2 + I384^2)/4) * (1 + 1.4* SQRT(MAX(0, K384)/100) * (C384/490) * I384 + MAX(0, 1 - C384/490))</f>
        <v>0.94863437389524463</v>
      </c>
      <c r="E384" s="1">
        <v>8.9743589999999998</v>
      </c>
      <c r="F384" s="1">
        <v>0.94381099999999996</v>
      </c>
      <c r="G384" s="1">
        <v>0.26806999999999997</v>
      </c>
      <c r="H384" s="1">
        <v>0.35149999999999998</v>
      </c>
      <c r="I384" s="1">
        <v>0.43209999999999998</v>
      </c>
      <c r="K384" s="1">
        <v>-0.46073074038358514</v>
      </c>
    </row>
    <row r="385" spans="1:11" ht="15.75" customHeight="1" x14ac:dyDescent="0.3">
      <c r="A385" s="1" t="s">
        <v>818</v>
      </c>
      <c r="B385" s="1" t="s">
        <v>16</v>
      </c>
      <c r="C385" s="1" t="s">
        <v>819</v>
      </c>
      <c r="D385" s="1">
        <f>SQRT((F385^2 + H385^2 + G385^2 + I385^2)/4) * (1 + 1.4* SQRT(MAX(0, K385)/100) * (C385/490) * I385 + MAX(0, 1 - C385/490))</f>
        <v>0.59368186770300579</v>
      </c>
      <c r="E385" s="1">
        <v>2.4096389999999999</v>
      </c>
      <c r="F385" s="1">
        <v>0.95459300000000002</v>
      </c>
      <c r="G385" s="1">
        <v>0.357296</v>
      </c>
      <c r="H385" s="1">
        <v>0.34989999999999999</v>
      </c>
      <c r="I385" s="1">
        <v>0.43209999999999998</v>
      </c>
      <c r="K385" s="1">
        <v>4.8899755501222497E-2</v>
      </c>
    </row>
    <row r="386" spans="1:11" ht="15.75" customHeight="1" x14ac:dyDescent="0.3">
      <c r="A386" s="1" t="s">
        <v>484</v>
      </c>
      <c r="B386" s="1" t="s">
        <v>49</v>
      </c>
      <c r="C386" s="1" t="s">
        <v>485</v>
      </c>
      <c r="D386" s="1">
        <f>SQRT((F386^2 + H386^2 + G386^2 + I386^2)/4) * (1 + 1.4* SQRT(MAX(0, K386)/100) * (C386/490) * I386 + MAX(0, 1 - C386/490))</f>
        <v>0.75870213255229269</v>
      </c>
      <c r="E386" s="1">
        <v>3.7837839999999998</v>
      </c>
      <c r="F386" s="1">
        <v>0.961113</v>
      </c>
      <c r="G386" s="1">
        <v>0.426736</v>
      </c>
      <c r="H386" s="1">
        <v>0.35149999999999998</v>
      </c>
      <c r="I386" s="1">
        <v>0.43209999999999998</v>
      </c>
      <c r="K386" s="1">
        <v>0.43795620437956206</v>
      </c>
    </row>
    <row r="387" spans="1:11" ht="15.75" customHeight="1" x14ac:dyDescent="0.3">
      <c r="A387" s="1" t="s">
        <v>297</v>
      </c>
      <c r="B387" s="1" t="s">
        <v>36</v>
      </c>
      <c r="C387" s="1" t="s">
        <v>298</v>
      </c>
      <c r="D387" s="1">
        <f>SQRT((F387^2 + H387^2 + G387^2 + I387^2)/4) * (1 + 1.4* SQRT(MAX(0, K387)/100) * (C387/490) * I387 + MAX(0, 1 - C387/490))</f>
        <v>0.94563585271094353</v>
      </c>
      <c r="E387" s="1">
        <v>2.941176</v>
      </c>
      <c r="F387" s="1">
        <v>0.90563800000000005</v>
      </c>
      <c r="G387" s="1">
        <v>0.210732</v>
      </c>
      <c r="H387" s="1">
        <v>0.36220000000000002</v>
      </c>
      <c r="I387" s="1">
        <v>0.43209999999999998</v>
      </c>
      <c r="K387" s="1">
        <v>0.99826388888888884</v>
      </c>
    </row>
    <row r="388" spans="1:11" ht="15.75" customHeight="1" x14ac:dyDescent="0.3">
      <c r="A388" s="1" t="s">
        <v>433</v>
      </c>
      <c r="B388" s="1" t="s">
        <v>36</v>
      </c>
      <c r="C388" s="1" t="s">
        <v>434</v>
      </c>
      <c r="D388" s="1">
        <f>SQRT((F388^2 + H388^2 + G388^2 + I388^2)/4) * (1 + 1.4* SQRT(MAX(0, K388)/100) * (C388/490) * I388 + MAX(0, 1 - C388/490))</f>
        <v>0.81472403824155493</v>
      </c>
      <c r="E388" s="1">
        <v>6.6914499999999997</v>
      </c>
      <c r="F388" s="1">
        <v>0.89313699999999996</v>
      </c>
      <c r="G388" s="1">
        <v>0.299512</v>
      </c>
      <c r="H388" s="1">
        <v>0.36220000000000002</v>
      </c>
      <c r="I388" s="1">
        <v>0.43209999999999998</v>
      </c>
      <c r="K388" s="1">
        <v>0.99826388888888884</v>
      </c>
    </row>
    <row r="389" spans="1:11" ht="15.75" customHeight="1" x14ac:dyDescent="0.3">
      <c r="A389" s="1" t="s">
        <v>82</v>
      </c>
      <c r="B389" s="1" t="s">
        <v>36</v>
      </c>
      <c r="C389" s="1" t="s">
        <v>83</v>
      </c>
      <c r="D389" s="1">
        <f>SQRT((F389^2 + H389^2 + G389^2 + I389^2)/4) * (1 + 1.4* SQRT(MAX(0, K389)/100) * (C389/490) * I389 + MAX(0, 1 - C389/490))</f>
        <v>1.2286840676206385</v>
      </c>
      <c r="E389" s="1">
        <v>9.3959729999999997</v>
      </c>
      <c r="F389" s="1">
        <v>0.88412199999999996</v>
      </c>
      <c r="G389" s="1">
        <v>1</v>
      </c>
      <c r="H389" s="1">
        <v>0.36220000000000002</v>
      </c>
      <c r="I389" s="1">
        <v>0.43209999999999998</v>
      </c>
      <c r="K389" s="1">
        <v>-2.0134228187919465</v>
      </c>
    </row>
    <row r="390" spans="1:11" ht="15.75" customHeight="1" x14ac:dyDescent="0.3">
      <c r="A390" s="1" t="s">
        <v>876</v>
      </c>
      <c r="B390" s="1" t="s">
        <v>24</v>
      </c>
      <c r="C390" s="1" t="s">
        <v>877</v>
      </c>
      <c r="D390" s="1">
        <f>SQRT((F390^2 + H390^2 + G390^2 + I390^2)/4) * (1 + 1.4* SQRT(MAX(0, K390)/100) * (C390/490) * I390 + MAX(0, 1 - C390/490))</f>
        <v>0.55008194421922263</v>
      </c>
      <c r="E390" s="1">
        <v>2.7932959999999998</v>
      </c>
      <c r="F390" s="1">
        <v>0.94665999999999995</v>
      </c>
      <c r="G390" s="1">
        <v>7.6768000000000003E-2</v>
      </c>
      <c r="H390" s="1">
        <v>0.34870000000000001</v>
      </c>
      <c r="I390" s="1">
        <v>0.43209999999999998</v>
      </c>
      <c r="K390" s="1">
        <v>-1.320901320901321</v>
      </c>
    </row>
    <row r="391" spans="1:11" ht="15.75" customHeight="1" x14ac:dyDescent="0.3">
      <c r="A391" s="1" t="s">
        <v>416</v>
      </c>
      <c r="B391" s="1" t="s">
        <v>21</v>
      </c>
      <c r="C391" s="1" t="s">
        <v>417</v>
      </c>
      <c r="D391" s="1">
        <f>SQRT((F391^2 + H391^2 + G391^2 + I391^2)/4) * (1 + 1.4* SQRT(MAX(0, K391)/100) * (C391/490) * I391 + MAX(0, 1 - C391/490))</f>
        <v>0.8350641771436359</v>
      </c>
      <c r="E391" s="1">
        <v>2.0833330000000001</v>
      </c>
      <c r="F391" s="1">
        <v>0.96277400000000002</v>
      </c>
      <c r="G391" s="1">
        <v>0.33504699999999998</v>
      </c>
      <c r="H391" s="1">
        <v>0.3493</v>
      </c>
      <c r="I391" s="1">
        <v>0.43209999999999998</v>
      </c>
      <c r="K391" s="1">
        <v>0.54655475307437051</v>
      </c>
    </row>
    <row r="392" spans="1:11" ht="15.75" customHeight="1" x14ac:dyDescent="0.3">
      <c r="A392" s="1" t="s">
        <v>750</v>
      </c>
      <c r="B392" s="1" t="s">
        <v>24</v>
      </c>
      <c r="C392" s="1" t="s">
        <v>528</v>
      </c>
      <c r="D392" s="1">
        <f>SQRT((F392^2 + H392^2 + G392^2 + I392^2)/4) * (1 + 1.4* SQRT(MAX(0, K392)/100) * (C392/490) * I392 + MAX(0, 1 - C392/490))</f>
        <v>0.61970898914591355</v>
      </c>
      <c r="E392" s="1">
        <v>3.1523639999999999</v>
      </c>
      <c r="F392" s="1">
        <v>0.94546300000000005</v>
      </c>
      <c r="G392" s="1">
        <v>0.57788799999999996</v>
      </c>
      <c r="H392" s="1">
        <v>0.34870000000000001</v>
      </c>
      <c r="I392" s="1">
        <v>0.43209999999999998</v>
      </c>
      <c r="K392" s="1">
        <v>-1.320901320901321</v>
      </c>
    </row>
    <row r="393" spans="1:11" ht="15.75" customHeight="1" x14ac:dyDescent="0.3">
      <c r="A393" s="1" t="s">
        <v>361</v>
      </c>
      <c r="B393" s="1" t="s">
        <v>49</v>
      </c>
      <c r="C393" s="1" t="s">
        <v>362</v>
      </c>
      <c r="D393" s="1">
        <f>SQRT((F393^2 + H393^2 + G393^2 + I393^2)/4) * (1 + 1.4* SQRT(MAX(0, K393)/100) * (C393/490) * I393 + MAX(0, 1 - C393/490))</f>
        <v>0.89323314661923969</v>
      </c>
      <c r="E393" s="1">
        <v>4.7058819999999999</v>
      </c>
      <c r="F393" s="1">
        <v>0.95803899999999997</v>
      </c>
      <c r="G393" s="1">
        <v>0.418379</v>
      </c>
      <c r="H393" s="1">
        <v>0.35149999999999998</v>
      </c>
      <c r="I393" s="1">
        <v>0.43209999999999998</v>
      </c>
      <c r="K393" s="1">
        <v>0.82278481012658233</v>
      </c>
    </row>
    <row r="394" spans="1:11" ht="15.75" customHeight="1" x14ac:dyDescent="0.3">
      <c r="A394" s="1" t="s">
        <v>621</v>
      </c>
      <c r="B394" s="1" t="s">
        <v>21</v>
      </c>
      <c r="C394" s="1" t="s">
        <v>622</v>
      </c>
      <c r="D394" s="1">
        <f>SQRT((F394^2 + H394^2 + G394^2 + I394^2)/4) * (1 + 1.4* SQRT(MAX(0, K394)/100) * (C394/490) * I394 + MAX(0, 1 - C394/490))</f>
        <v>0.70140818207561006</v>
      </c>
      <c r="E394" s="1">
        <v>0</v>
      </c>
      <c r="F394" s="1">
        <v>0.96971799999999997</v>
      </c>
      <c r="G394" s="1">
        <v>0.72705500000000001</v>
      </c>
      <c r="H394" s="1">
        <v>0.3493</v>
      </c>
      <c r="I394" s="1">
        <v>0.43209999999999998</v>
      </c>
      <c r="K394" s="1">
        <v>0.61168529846024045</v>
      </c>
    </row>
    <row r="395" spans="1:11" ht="15.75" customHeight="1" x14ac:dyDescent="0.3">
      <c r="A395" s="1" t="s">
        <v>721</v>
      </c>
      <c r="B395" s="1" t="s">
        <v>21</v>
      </c>
      <c r="C395" s="1" t="s">
        <v>722</v>
      </c>
      <c r="D395" s="1">
        <f>SQRT((F395^2 + H395^2 + G395^2 + I395^2)/4) * (1 + 1.4* SQRT(MAX(0, K395)/100) * (C395/490) * I395 + MAX(0, 1 - C395/490))</f>
        <v>0.63348760363537227</v>
      </c>
      <c r="E395" s="1">
        <v>0</v>
      </c>
      <c r="F395" s="1">
        <v>0.96971799999999997</v>
      </c>
      <c r="G395" s="1">
        <v>0.40083099999999999</v>
      </c>
      <c r="H395" s="1">
        <v>0.3493</v>
      </c>
      <c r="I395" s="1">
        <v>0.43209999999999998</v>
      </c>
      <c r="K395" s="1">
        <v>0.54655475307437051</v>
      </c>
    </row>
    <row r="396" spans="1:11" ht="15.75" customHeight="1" x14ac:dyDescent="0.3">
      <c r="A396" s="1" t="s">
        <v>813</v>
      </c>
      <c r="B396" s="1" t="s">
        <v>49</v>
      </c>
      <c r="C396" s="1" t="s">
        <v>491</v>
      </c>
      <c r="D396" s="1">
        <f>SQRT((F396^2 + H396^2 + G396^2 + I396^2)/4) * (1 + 1.4* SQRT(MAX(0, K396)/100) * (C396/490) * I396 + MAX(0, 1 - C396/490))</f>
        <v>0.5954926057779848</v>
      </c>
      <c r="E396" s="1">
        <v>3.9370080000000001</v>
      </c>
      <c r="F396" s="1">
        <v>0.96060199999999996</v>
      </c>
      <c r="G396" s="1">
        <v>0.27318100000000001</v>
      </c>
      <c r="H396" s="1">
        <v>0.35149999999999998</v>
      </c>
      <c r="I396" s="1">
        <v>0.43209999999999998</v>
      </c>
      <c r="K396" s="1">
        <v>0.43795620437956206</v>
      </c>
    </row>
    <row r="397" spans="1:11" ht="15.75" customHeight="1" x14ac:dyDescent="0.3">
      <c r="A397" s="1" t="s">
        <v>734</v>
      </c>
      <c r="B397" s="1" t="s">
        <v>111</v>
      </c>
      <c r="C397" s="1" t="s">
        <v>735</v>
      </c>
      <c r="D397" s="1">
        <f>SQRT((F397^2 + H397^2 + G397^2 + I397^2)/4) * (1 + 1.4* SQRT(MAX(0, K397)/100) * (C397/490) * I397 + MAX(0, 1 - C397/490))</f>
        <v>0.62643414939160136</v>
      </c>
      <c r="E397" s="1">
        <v>0</v>
      </c>
      <c r="F397" s="1">
        <v>0.97731000000000001</v>
      </c>
      <c r="G397" s="1">
        <v>0.39127800000000001</v>
      </c>
      <c r="H397" s="1">
        <v>0.3322</v>
      </c>
      <c r="I397" s="1">
        <v>0.23019999999999999</v>
      </c>
      <c r="J397" s="1" t="s">
        <v>112</v>
      </c>
      <c r="K397" s="1">
        <v>5.443037974683544</v>
      </c>
    </row>
    <row r="398" spans="1:11" ht="15.75" customHeight="1" x14ac:dyDescent="0.3">
      <c r="A398" s="1" t="s">
        <v>742</v>
      </c>
      <c r="B398" s="1" t="s">
        <v>49</v>
      </c>
      <c r="C398" s="1" t="s">
        <v>743</v>
      </c>
      <c r="D398" s="1">
        <f>SQRT((F398^2 + H398^2 + G398^2 + I398^2)/4) * (1 + 1.4* SQRT(MAX(0, K398)/100) * (C398/490) * I398 + MAX(0, 1 - C398/490))</f>
        <v>0.62220592140700937</v>
      </c>
      <c r="E398" s="1">
        <v>1.4787429999999999</v>
      </c>
      <c r="F398" s="1">
        <v>0.96879599999999999</v>
      </c>
      <c r="G398" s="1">
        <v>0.46228399999999997</v>
      </c>
      <c r="H398" s="1">
        <v>0.35149999999999998</v>
      </c>
      <c r="I398" s="1">
        <v>0.43209999999999998</v>
      </c>
      <c r="K398" s="1">
        <v>0.18839103869653767</v>
      </c>
    </row>
    <row r="399" spans="1:11" ht="15.75" customHeight="1" x14ac:dyDescent="0.3">
      <c r="A399" s="1" t="s">
        <v>648</v>
      </c>
      <c r="B399" s="1" t="s">
        <v>49</v>
      </c>
      <c r="C399" s="1" t="s">
        <v>649</v>
      </c>
      <c r="D399" s="1">
        <f>SQRT((F399^2 + H399^2 + G399^2 + I399^2)/4) * (1 + 1.4* SQRT(MAX(0, K399)/100) * (C399/490) * I399 + MAX(0, 1 - C399/490))</f>
        <v>0.67849859017354275</v>
      </c>
      <c r="E399" s="1">
        <v>6.6825780000000004</v>
      </c>
      <c r="F399" s="1">
        <v>0.95145000000000002</v>
      </c>
      <c r="G399" s="1">
        <v>0.284383</v>
      </c>
      <c r="H399" s="1">
        <v>0.35149999999999998</v>
      </c>
      <c r="I399" s="1">
        <v>0.43209999999999998</v>
      </c>
      <c r="K399" s="1">
        <v>0.82278481012658233</v>
      </c>
    </row>
    <row r="400" spans="1:11" ht="15.75" customHeight="1" x14ac:dyDescent="0.3">
      <c r="A400" s="1" t="s">
        <v>690</v>
      </c>
      <c r="B400" s="1" t="s">
        <v>49</v>
      </c>
      <c r="C400" s="1" t="s">
        <v>691</v>
      </c>
      <c r="D400" s="1">
        <f>SQRT((F400^2 + H400^2 + G400^2 + I400^2)/4) * (1 + 1.4* SQRT(MAX(0, K400)/100) * (C400/490) * I400 + MAX(0, 1 - C400/490))</f>
        <v>0.64410034542269856</v>
      </c>
      <c r="E400" s="1">
        <v>2.3064249999999999</v>
      </c>
      <c r="F400" s="1">
        <v>0.96603700000000003</v>
      </c>
      <c r="G400" s="1">
        <v>0.55952299999999999</v>
      </c>
      <c r="H400" s="1">
        <v>0.35149999999999998</v>
      </c>
      <c r="I400" s="1">
        <v>0.43209999999999998</v>
      </c>
      <c r="K400" s="1">
        <v>0.18839103869653767</v>
      </c>
    </row>
    <row r="401" spans="1:11" ht="15.75" customHeight="1" x14ac:dyDescent="0.3">
      <c r="A401" s="1" t="s">
        <v>730</v>
      </c>
      <c r="B401" s="1" t="s">
        <v>49</v>
      </c>
      <c r="C401" s="1" t="s">
        <v>731</v>
      </c>
      <c r="D401" s="1">
        <f>SQRT((F401^2 + H401^2 + G401^2 + I401^2)/4) * (1 + 1.4* SQRT(MAX(0, K401)/100) * (C401/490) * I401 + MAX(0, 1 - C401/490))</f>
        <v>0.62737747968593938</v>
      </c>
      <c r="E401" s="1">
        <v>0.28328599999999998</v>
      </c>
      <c r="F401" s="1">
        <v>0.97278100000000001</v>
      </c>
      <c r="G401" s="1">
        <v>0.30917099999999997</v>
      </c>
      <c r="H401" s="1">
        <v>0.35149999999999998</v>
      </c>
      <c r="I401" s="1">
        <v>0.43209999999999998</v>
      </c>
      <c r="K401" s="1">
        <v>0.82278481012658233</v>
      </c>
    </row>
    <row r="402" spans="1:11" ht="15.75" customHeight="1" x14ac:dyDescent="0.3">
      <c r="A402" s="1" t="s">
        <v>658</v>
      </c>
      <c r="B402" s="1" t="s">
        <v>49</v>
      </c>
      <c r="C402" s="1" t="s">
        <v>659</v>
      </c>
      <c r="D402" s="1">
        <f>SQRT((F402^2 + H402^2 + G402^2 + I402^2)/4) * (1 + 1.4* SQRT(MAX(0, K402)/100) * (C402/490) * I402 + MAX(0, 1 - C402/490))</f>
        <v>0.66051655909269869</v>
      </c>
      <c r="E402" s="1">
        <v>0.58565199999999995</v>
      </c>
      <c r="F402" s="1">
        <v>0.971773</v>
      </c>
      <c r="G402" s="1">
        <v>0.50134400000000001</v>
      </c>
      <c r="H402" s="1">
        <v>0.35149999999999998</v>
      </c>
      <c r="I402" s="1">
        <v>0.43209999999999998</v>
      </c>
      <c r="K402" s="1">
        <v>0.82278481012658233</v>
      </c>
    </row>
    <row r="403" spans="1:11" ht="15.75" customHeight="1" x14ac:dyDescent="0.3">
      <c r="A403" s="1" t="s">
        <v>681</v>
      </c>
      <c r="B403" s="1" t="s">
        <v>21</v>
      </c>
      <c r="C403" s="1" t="s">
        <v>602</v>
      </c>
      <c r="D403" s="1">
        <f>SQRT((F403^2 + H403^2 + G403^2 + I403^2)/4) * (1 + 1.4* SQRT(MAX(0, K403)/100) * (C403/490) * I403 + MAX(0, 1 - C403/490))</f>
        <v>0.65123960376323975</v>
      </c>
      <c r="E403" s="1">
        <v>0.269179</v>
      </c>
      <c r="F403" s="1">
        <v>0.96882100000000004</v>
      </c>
      <c r="G403" s="1">
        <v>0.47916700000000001</v>
      </c>
      <c r="H403" s="1">
        <v>0.3493</v>
      </c>
      <c r="I403" s="1">
        <v>0.43209999999999998</v>
      </c>
      <c r="K403" s="1">
        <v>0.61168529846024045</v>
      </c>
    </row>
    <row r="404" spans="1:11" ht="15.75" customHeight="1" x14ac:dyDescent="0.3">
      <c r="A404" s="1" t="s">
        <v>717</v>
      </c>
      <c r="B404" s="1" t="s">
        <v>21</v>
      </c>
      <c r="C404" s="1" t="s">
        <v>718</v>
      </c>
      <c r="D404" s="1">
        <f>SQRT((F404^2 + H404^2 + G404^2 + I404^2)/4) * (1 + 1.4* SQRT(MAX(0, K404)/100) * (C404/490) * I404 + MAX(0, 1 - C404/490))</f>
        <v>0.63544745117315748</v>
      </c>
      <c r="E404" s="1">
        <v>0.30303000000000002</v>
      </c>
      <c r="F404" s="1">
        <v>0.96870800000000001</v>
      </c>
      <c r="G404" s="1">
        <v>0.43558599999999997</v>
      </c>
      <c r="H404" s="1">
        <v>0.3493</v>
      </c>
      <c r="I404" s="1">
        <v>0.43209999999999998</v>
      </c>
      <c r="K404" s="1">
        <v>0.54655475307437051</v>
      </c>
    </row>
    <row r="405" spans="1:11" ht="15.75" customHeight="1" x14ac:dyDescent="0.3">
      <c r="A405" s="1" t="s">
        <v>774</v>
      </c>
      <c r="B405" s="1" t="s">
        <v>12</v>
      </c>
      <c r="C405" s="1" t="s">
        <v>775</v>
      </c>
      <c r="D405" s="1">
        <f>SQRT((F405^2 + H405^2 + G405^2 + I405^2)/4) * (1 + 1.4* SQRT(MAX(0, K405)/100) * (C405/490) * I405 + MAX(0, 1 - C405/490))</f>
        <v>0.61089730141264331</v>
      </c>
      <c r="E405" s="1">
        <v>0.218579</v>
      </c>
      <c r="F405" s="1">
        <v>0.97894300000000001</v>
      </c>
      <c r="G405" s="1">
        <v>0.45216200000000001</v>
      </c>
      <c r="H405" s="1">
        <v>0.33129999999999998</v>
      </c>
      <c r="I405" s="1">
        <v>0.46929999999999999</v>
      </c>
      <c r="J405" s="1" t="s">
        <v>14</v>
      </c>
      <c r="K405" s="1">
        <v>-0.21595356998245377</v>
      </c>
    </row>
    <row r="406" spans="1:11" ht="15.75" customHeight="1" x14ac:dyDescent="0.3">
      <c r="A406" s="1" t="s">
        <v>705</v>
      </c>
      <c r="B406" s="1" t="s">
        <v>49</v>
      </c>
      <c r="C406" s="1" t="s">
        <v>683</v>
      </c>
      <c r="D406" s="1">
        <f>SQRT((F406^2 + H406^2 + G406^2 + I406^2)/4) * (1 + 1.4* SQRT(MAX(0, K406)/100) * (C406/490) * I406 + MAX(0, 1 - C406/490))</f>
        <v>0.63803498432297712</v>
      </c>
      <c r="E406" s="1">
        <v>0</v>
      </c>
      <c r="F406" s="1">
        <v>0.97372599999999998</v>
      </c>
      <c r="G406" s="1">
        <v>0.50276699999999996</v>
      </c>
      <c r="H406" s="1">
        <v>0.35149999999999998</v>
      </c>
      <c r="I406" s="1">
        <v>0.43209999999999998</v>
      </c>
      <c r="K406" s="1">
        <v>0.18839103869653767</v>
      </c>
    </row>
    <row r="407" spans="1:11" ht="15.75" customHeight="1" x14ac:dyDescent="0.3">
      <c r="A407" s="1" t="s">
        <v>292</v>
      </c>
      <c r="B407" s="1" t="s">
        <v>49</v>
      </c>
      <c r="C407" s="1" t="s">
        <v>85</v>
      </c>
      <c r="D407" s="1">
        <f>SQRT((F407^2 + H407^2 + G407^2 + I407^2)/4) * (1 + 1.4* SQRT(MAX(0, K407)/100) * (C407/490) * I407 + MAX(0, 1 - C407/490))</f>
        <v>0.94864753630150733</v>
      </c>
      <c r="E407" s="1">
        <v>1.0989009999999999</v>
      </c>
      <c r="F407" s="1">
        <v>0.97006300000000001</v>
      </c>
      <c r="G407" s="1">
        <v>0.32550499999999999</v>
      </c>
      <c r="H407" s="1">
        <v>0.35149999999999998</v>
      </c>
      <c r="I407" s="1">
        <v>0.43209999999999998</v>
      </c>
      <c r="K407" s="1">
        <v>-0.46073074038358514</v>
      </c>
    </row>
    <row r="408" spans="1:11" ht="15.75" customHeight="1" x14ac:dyDescent="0.3">
      <c r="A408" s="1" t="s">
        <v>714</v>
      </c>
      <c r="B408" s="1" t="s">
        <v>12</v>
      </c>
      <c r="C408" s="1" t="s">
        <v>715</v>
      </c>
      <c r="D408" s="1">
        <f>SQRT((F408^2 + H408^2 + G408^2 + I408^2)/4) * (1 + 1.4* SQRT(MAX(0, K408)/100) * (C408/490) * I408 + MAX(0, 1 - C408/490))</f>
        <v>0.63676959876232542</v>
      </c>
      <c r="E408" s="1">
        <v>1.663894</v>
      </c>
      <c r="F408" s="1">
        <v>0.97412500000000002</v>
      </c>
      <c r="G408" s="1">
        <v>0.395422</v>
      </c>
      <c r="H408" s="1">
        <v>0.33129999999999998</v>
      </c>
      <c r="I408" s="1">
        <v>0.46929999999999999</v>
      </c>
      <c r="J408" s="1" t="s">
        <v>14</v>
      </c>
      <c r="K408" s="1">
        <v>0.61168529846024045</v>
      </c>
    </row>
    <row r="409" spans="1:11" ht="15.75" customHeight="1" x14ac:dyDescent="0.3">
      <c r="A409" s="1" t="s">
        <v>352</v>
      </c>
      <c r="B409" s="1" t="s">
        <v>12</v>
      </c>
      <c r="C409" s="1" t="s">
        <v>353</v>
      </c>
      <c r="D409" s="1">
        <f>SQRT((F409^2 + H409^2 + G409^2 + I409^2)/4) * (1 + 1.4* SQRT(MAX(0, K409)/100) * (C409/490) * I409 + MAX(0, 1 - C409/490))</f>
        <v>0.90746928321211162</v>
      </c>
      <c r="E409" s="1">
        <v>6.3157889999999997</v>
      </c>
      <c r="F409" s="1">
        <v>0.958619</v>
      </c>
      <c r="G409" s="1">
        <v>0.13526299999999999</v>
      </c>
      <c r="H409" s="1">
        <v>0.33129999999999998</v>
      </c>
      <c r="I409" s="1">
        <v>0.46929999999999999</v>
      </c>
      <c r="J409" s="1" t="s">
        <v>14</v>
      </c>
      <c r="K409" s="1">
        <v>-0.21595356998245377</v>
      </c>
    </row>
    <row r="410" spans="1:11" ht="15.75" customHeight="1" x14ac:dyDescent="0.3">
      <c r="A410" s="1" t="s">
        <v>634</v>
      </c>
      <c r="B410" s="1" t="s">
        <v>12</v>
      </c>
      <c r="C410" s="1" t="s">
        <v>635</v>
      </c>
      <c r="D410" s="1">
        <f>SQRT((F410^2 + H410^2 + G410^2 + I410^2)/4) * (1 + 1.4* SQRT(MAX(0, K410)/100) * (C410/490) * I410 + MAX(0, 1 - C410/490))</f>
        <v>0.68307229626350441</v>
      </c>
      <c r="E410" s="1">
        <v>2.1174210000000002</v>
      </c>
      <c r="F410" s="1">
        <v>0.97261299999999995</v>
      </c>
      <c r="G410" s="1">
        <v>0.49156899999999998</v>
      </c>
      <c r="H410" s="1">
        <v>0.33129999999999998</v>
      </c>
      <c r="I410" s="1">
        <v>0.46929999999999999</v>
      </c>
      <c r="J410" s="1" t="s">
        <v>14</v>
      </c>
      <c r="K410" s="1">
        <v>0.61168529846024045</v>
      </c>
    </row>
    <row r="411" spans="1:11" ht="15.75" customHeight="1" x14ac:dyDescent="0.3">
      <c r="A411" s="1" t="s">
        <v>814</v>
      </c>
      <c r="B411" s="1" t="s">
        <v>12</v>
      </c>
      <c r="C411" s="1" t="s">
        <v>815</v>
      </c>
      <c r="D411" s="1">
        <f>SQRT((F411^2 + H411^2 + G411^2 + I411^2)/4) * (1 + 1.4* SQRT(MAX(0, K411)/100) * (C411/490) * I411 + MAX(0, 1 - C411/490))</f>
        <v>0.59455997479753875</v>
      </c>
      <c r="E411" s="1">
        <v>1.8064519999999999</v>
      </c>
      <c r="F411" s="1">
        <v>0.97365000000000002</v>
      </c>
      <c r="G411" s="1">
        <v>0.36879499999999998</v>
      </c>
      <c r="H411" s="1">
        <v>0.33129999999999998</v>
      </c>
      <c r="I411" s="1">
        <v>0.46929999999999999</v>
      </c>
      <c r="J411" s="1" t="s">
        <v>14</v>
      </c>
      <c r="K411" s="1">
        <v>-0.21595356998245377</v>
      </c>
    </row>
    <row r="412" spans="1:11" ht="15.75" customHeight="1" x14ac:dyDescent="0.3">
      <c r="A412" s="1" t="s">
        <v>782</v>
      </c>
      <c r="B412" s="1" t="s">
        <v>16</v>
      </c>
      <c r="C412" s="1" t="s">
        <v>783</v>
      </c>
      <c r="D412" s="1">
        <f>SQRT((F412^2 + H412^2 + G412^2 + I412^2)/4) * (1 + 1.4* SQRT(MAX(0, K412)/100) * (C412/490) * I412 + MAX(0, 1 - C412/490))</f>
        <v>0.60902933203932086</v>
      </c>
      <c r="E412" s="1">
        <v>4.9773759999999996</v>
      </c>
      <c r="F412" s="1">
        <v>0.94603400000000004</v>
      </c>
      <c r="G412" s="1">
        <v>4.8999999999999998E-4</v>
      </c>
      <c r="H412" s="1">
        <v>0.34989999999999999</v>
      </c>
      <c r="I412" s="1">
        <v>0.43209999999999998</v>
      </c>
      <c r="K412" s="1">
        <v>4.8899755501222497E-2</v>
      </c>
    </row>
    <row r="413" spans="1:11" ht="15.75" customHeight="1" x14ac:dyDescent="0.3">
      <c r="A413" s="1" t="s">
        <v>823</v>
      </c>
      <c r="B413" s="1" t="s">
        <v>111</v>
      </c>
      <c r="C413" s="1" t="s">
        <v>824</v>
      </c>
      <c r="D413" s="1">
        <f>SQRT((F413^2 + H413^2 + G413^2 + I413^2)/4) * (1 + 1.4* SQRT(MAX(0, K413)/100) * (C413/490) * I413 + MAX(0, 1 - C413/490))</f>
        <v>0.59153499155918199</v>
      </c>
      <c r="E413" s="1">
        <v>0.36363600000000001</v>
      </c>
      <c r="F413" s="1">
        <v>0.97609800000000002</v>
      </c>
      <c r="G413" s="1">
        <v>0.49051</v>
      </c>
      <c r="H413" s="1">
        <v>0.3322</v>
      </c>
      <c r="I413" s="1">
        <v>0.23019999999999999</v>
      </c>
      <c r="J413" s="1" t="s">
        <v>112</v>
      </c>
      <c r="K413" s="1">
        <v>0.18839103869653767</v>
      </c>
    </row>
    <row r="414" spans="1:11" ht="15.75" customHeight="1" x14ac:dyDescent="0.3">
      <c r="A414" s="1" t="s">
        <v>843</v>
      </c>
      <c r="B414" s="1" t="s">
        <v>12</v>
      </c>
      <c r="C414" s="1" t="s">
        <v>844</v>
      </c>
      <c r="D414" s="1">
        <f>SQRT((F414^2 + H414^2 + G414^2 + I414^2)/4) * (1 + 1.4* SQRT(MAX(0, K414)/100) * (C414/490) * I414 + MAX(0, 1 - C414/490))</f>
        <v>0.58232647207666077</v>
      </c>
      <c r="E414" s="1">
        <v>0.51085599999999998</v>
      </c>
      <c r="F414" s="1">
        <v>0.97796899999999998</v>
      </c>
      <c r="G414" s="1">
        <v>0.26455800000000002</v>
      </c>
      <c r="H414" s="1">
        <v>0.33129999999999998</v>
      </c>
      <c r="I414" s="1">
        <v>0.46929999999999999</v>
      </c>
      <c r="J414" s="1" t="s">
        <v>14</v>
      </c>
      <c r="K414" s="1">
        <v>-0.21595356998245377</v>
      </c>
    </row>
    <row r="415" spans="1:11" ht="15.75" customHeight="1" x14ac:dyDescent="0.3">
      <c r="A415" s="1" t="s">
        <v>391</v>
      </c>
      <c r="B415" s="1" t="s">
        <v>16</v>
      </c>
      <c r="C415" s="1" t="s">
        <v>362</v>
      </c>
      <c r="D415" s="1">
        <f>SQRT((F415^2 + H415^2 + G415^2 + I415^2)/4) * (1 + 1.4* SQRT(MAX(0, K415)/100) * (C415/490) * I415 + MAX(0, 1 - C415/490))</f>
        <v>0.85831435367433129</v>
      </c>
      <c r="E415" s="1">
        <v>7.8431369999999996</v>
      </c>
      <c r="F415" s="1">
        <v>0.93648200000000004</v>
      </c>
      <c r="G415" s="1">
        <v>0.38387100000000002</v>
      </c>
      <c r="H415" s="1">
        <v>0.34989999999999999</v>
      </c>
      <c r="I415" s="1">
        <v>0.43209999999999998</v>
      </c>
      <c r="K415" s="1">
        <v>4.8899755501222497E-2</v>
      </c>
    </row>
    <row r="416" spans="1:11" ht="15.75" customHeight="1" x14ac:dyDescent="0.3">
      <c r="A416" s="1" t="s">
        <v>615</v>
      </c>
      <c r="B416" s="1" t="s">
        <v>24</v>
      </c>
      <c r="C416" s="1" t="s">
        <v>616</v>
      </c>
      <c r="D416" s="1">
        <f>SQRT((F416^2 + H416^2 + G416^2 + I416^2)/4) * (1 + 1.4* SQRT(MAX(0, K416)/100) * (C416/490) * I416 + MAX(0, 1 - C416/490))</f>
        <v>0.70952419118342736</v>
      </c>
      <c r="E416" s="1">
        <v>1.655629</v>
      </c>
      <c r="F416" s="1">
        <v>0.95045299999999999</v>
      </c>
      <c r="G416" s="1">
        <v>0.82325700000000002</v>
      </c>
      <c r="H416" s="1">
        <v>0.34870000000000001</v>
      </c>
      <c r="I416" s="1">
        <v>0.43209999999999998</v>
      </c>
      <c r="K416" s="1">
        <v>0.18839103869653767</v>
      </c>
    </row>
    <row r="417" spans="1:11" ht="15.75" customHeight="1" x14ac:dyDescent="0.3">
      <c r="A417" s="1" t="s">
        <v>753</v>
      </c>
      <c r="B417" s="1" t="s">
        <v>24</v>
      </c>
      <c r="C417" s="1" t="s">
        <v>754</v>
      </c>
      <c r="D417" s="1">
        <f>SQRT((F417^2 + H417^2 + G417^2 + I417^2)/4) * (1 + 1.4* SQRT(MAX(0, K417)/100) * (C417/490) * I417 + MAX(0, 1 - C417/490))</f>
        <v>0.61822796183342177</v>
      </c>
      <c r="E417" s="1">
        <v>1.609658</v>
      </c>
      <c r="F417" s="1">
        <v>0.95060599999999995</v>
      </c>
      <c r="G417" s="1">
        <v>0.39130500000000001</v>
      </c>
      <c r="H417" s="1">
        <v>0.34870000000000001</v>
      </c>
      <c r="I417" s="1">
        <v>0.43209999999999998</v>
      </c>
      <c r="K417" s="1">
        <v>0.90218423551756888</v>
      </c>
    </row>
    <row r="418" spans="1:11" ht="15.75" customHeight="1" x14ac:dyDescent="0.3">
      <c r="A418" s="1" t="s">
        <v>751</v>
      </c>
      <c r="B418" s="1" t="s">
        <v>16</v>
      </c>
      <c r="C418" s="1" t="s">
        <v>460</v>
      </c>
      <c r="D418" s="1">
        <f>SQRT((F418^2 + H418^2 + G418^2 + I418^2)/4) * (1 + 1.4* SQRT(MAX(0, K418)/100) * (C418/490) * I418 + MAX(0, 1 - C418/490))</f>
        <v>0.6186862820481861</v>
      </c>
      <c r="E418" s="1">
        <v>3.887689</v>
      </c>
      <c r="F418" s="1">
        <v>0.94966700000000004</v>
      </c>
      <c r="G418" s="1">
        <v>0.36327399999999999</v>
      </c>
      <c r="H418" s="1">
        <v>0.34989999999999999</v>
      </c>
      <c r="I418" s="1">
        <v>0.43209999999999998</v>
      </c>
      <c r="K418" s="1">
        <v>4.8899755501222497E-2</v>
      </c>
    </row>
    <row r="419" spans="1:11" ht="15.75" customHeight="1" x14ac:dyDescent="0.3">
      <c r="A419" s="1" t="s">
        <v>716</v>
      </c>
      <c r="B419" s="1" t="s">
        <v>49</v>
      </c>
      <c r="C419" s="1" t="s">
        <v>511</v>
      </c>
      <c r="D419" s="1">
        <f>SQRT((F419^2 + H419^2 + G419^2 + I419^2)/4) * (1 + 1.4* SQRT(MAX(0, K419)/100) * (C419/490) * I419 + MAX(0, 1 - C419/490))</f>
        <v>0.63578104649965639</v>
      </c>
      <c r="E419" s="1">
        <v>1.057269</v>
      </c>
      <c r="F419" s="1">
        <v>0.97020099999999998</v>
      </c>
      <c r="G419" s="1">
        <v>0.43038799999999999</v>
      </c>
      <c r="H419" s="1">
        <v>0.35149999999999998</v>
      </c>
      <c r="I419" s="1">
        <v>0.43209999999999998</v>
      </c>
      <c r="K419" s="1">
        <v>0.18839103869653767</v>
      </c>
    </row>
    <row r="420" spans="1:11" ht="15.75" customHeight="1" x14ac:dyDescent="0.3">
      <c r="A420" s="1" t="s">
        <v>865</v>
      </c>
      <c r="B420" s="1" t="s">
        <v>12</v>
      </c>
      <c r="C420" s="1" t="s">
        <v>866</v>
      </c>
      <c r="D420" s="1">
        <f>SQRT((F420^2 + H420^2 + G420^2 + I420^2)/4) * (1 + 1.4* SQRT(MAX(0, K420)/100) * (C420/490) * I420 + MAX(0, 1 - C420/490))</f>
        <v>0.56716201890861839</v>
      </c>
      <c r="E420" s="1">
        <v>0.51020399999999999</v>
      </c>
      <c r="F420" s="1">
        <v>0.97797100000000003</v>
      </c>
      <c r="G420" s="1">
        <v>1.6173E-2</v>
      </c>
      <c r="H420" s="1">
        <v>0.33129999999999998</v>
      </c>
      <c r="I420" s="1">
        <v>0.46929999999999999</v>
      </c>
      <c r="J420" s="1" t="s">
        <v>14</v>
      </c>
      <c r="K420" s="1">
        <v>0</v>
      </c>
    </row>
    <row r="421" spans="1:11" ht="15.75" customHeight="1" x14ac:dyDescent="0.3">
      <c r="A421" s="1" t="s">
        <v>771</v>
      </c>
      <c r="B421" s="1" t="s">
        <v>49</v>
      </c>
      <c r="C421" s="1" t="s">
        <v>694</v>
      </c>
      <c r="D421" s="1">
        <f>SQRT((F421^2 + H421^2 + G421^2 + I421^2)/4) * (1 + 1.4* SQRT(MAX(0, K421)/100) * (C421/490) * I421 + MAX(0, 1 - C421/490))</f>
        <v>0.61426804967151749</v>
      </c>
      <c r="E421" s="1">
        <v>0.25062699999999999</v>
      </c>
      <c r="F421" s="1">
        <v>0.97289000000000003</v>
      </c>
      <c r="G421" s="1">
        <v>0.50251699999999999</v>
      </c>
      <c r="H421" s="1">
        <v>0.35149999999999998</v>
      </c>
      <c r="I421" s="1">
        <v>0.43209999999999998</v>
      </c>
      <c r="K421" s="1">
        <v>-0.46073074038358514</v>
      </c>
    </row>
    <row r="422" spans="1:11" ht="15.75" customHeight="1" x14ac:dyDescent="0.3">
      <c r="A422" s="1" t="s">
        <v>748</v>
      </c>
      <c r="B422" s="1" t="s">
        <v>21</v>
      </c>
      <c r="C422" s="1" t="s">
        <v>749</v>
      </c>
      <c r="D422" s="1">
        <f>SQRT((F422^2 + H422^2 + G422^2 + I422^2)/4) * (1 + 1.4* SQRT(MAX(0, K422)/100) * (C422/490) * I422 + MAX(0, 1 - C422/490))</f>
        <v>0.6210033871033418</v>
      </c>
      <c r="E422" s="1">
        <v>0</v>
      </c>
      <c r="F422" s="1">
        <v>0.96971799999999997</v>
      </c>
      <c r="G422" s="1">
        <v>0.38569900000000001</v>
      </c>
      <c r="H422" s="1">
        <v>0.3493</v>
      </c>
      <c r="I422" s="1">
        <v>0.43209999999999998</v>
      </c>
      <c r="K422" s="1">
        <v>0.61168529846024045</v>
      </c>
    </row>
    <row r="423" spans="1:11" ht="15.75" customHeight="1" x14ac:dyDescent="0.3">
      <c r="A423" s="1" t="s">
        <v>666</v>
      </c>
      <c r="B423" s="1" t="s">
        <v>16</v>
      </c>
      <c r="C423" s="1" t="s">
        <v>667</v>
      </c>
      <c r="D423" s="1">
        <f>SQRT((F423^2 + H423^2 + G423^2 + I423^2)/4) * (1 + 1.4* SQRT(MAX(0, K423)/100) * (C423/490) * I423 + MAX(0, 1 - C423/490))</f>
        <v>0.65846930709940044</v>
      </c>
      <c r="E423" s="1">
        <v>0</v>
      </c>
      <c r="F423" s="1">
        <v>0.96262599999999998</v>
      </c>
      <c r="G423" s="1">
        <v>0.52252600000000005</v>
      </c>
      <c r="H423" s="1">
        <v>0.34989999999999999</v>
      </c>
      <c r="I423" s="1">
        <v>0.43209999999999998</v>
      </c>
      <c r="K423" s="1">
        <v>0.61168529846024045</v>
      </c>
    </row>
    <row r="424" spans="1:11" ht="15.75" customHeight="1" x14ac:dyDescent="0.3">
      <c r="A424" s="1" t="s">
        <v>755</v>
      </c>
      <c r="B424" s="1" t="s">
        <v>16</v>
      </c>
      <c r="C424" s="1" t="s">
        <v>756</v>
      </c>
      <c r="D424" s="1">
        <f>SQRT((F424^2 + H424^2 + G424^2 + I424^2)/4) * (1 + 1.4* SQRT(MAX(0, K424)/100) * (C424/490) * I424 + MAX(0, 1 - C424/490))</f>
        <v>0.61813200449407568</v>
      </c>
      <c r="E424" s="1">
        <v>0.31695699999999999</v>
      </c>
      <c r="F424" s="1">
        <v>0.96156900000000001</v>
      </c>
      <c r="G424" s="1">
        <v>0.49322100000000002</v>
      </c>
      <c r="H424" s="1">
        <v>0.34989999999999999</v>
      </c>
      <c r="I424" s="1">
        <v>0.43209999999999998</v>
      </c>
      <c r="K424" s="1">
        <v>4.8899755501222497E-2</v>
      </c>
    </row>
    <row r="425" spans="1:11" ht="15.75" customHeight="1" x14ac:dyDescent="0.3">
      <c r="A425" s="1" t="s">
        <v>535</v>
      </c>
      <c r="B425" s="1" t="s">
        <v>16</v>
      </c>
      <c r="C425" s="1" t="s">
        <v>536</v>
      </c>
      <c r="D425" s="1">
        <f>SQRT((F425^2 + H425^2 + G425^2 + I425^2)/4) * (1 + 1.4* SQRT(MAX(0, K425)/100) * (C425/490) * I425 + MAX(0, 1 - C425/490))</f>
        <v>0.74672436238028961</v>
      </c>
      <c r="E425" s="1">
        <v>0.84269700000000003</v>
      </c>
      <c r="F425" s="1">
        <v>0.95981700000000003</v>
      </c>
      <c r="G425" s="1">
        <v>1</v>
      </c>
      <c r="H425" s="1">
        <v>0.34989999999999999</v>
      </c>
      <c r="I425" s="1">
        <v>0.43209999999999998</v>
      </c>
      <c r="K425" s="1">
        <v>0</v>
      </c>
    </row>
    <row r="426" spans="1:11" ht="15.75" customHeight="1" x14ac:dyDescent="0.3">
      <c r="A426" s="1" t="s">
        <v>710</v>
      </c>
      <c r="B426" s="1" t="s">
        <v>21</v>
      </c>
      <c r="C426" s="1" t="s">
        <v>711</v>
      </c>
      <c r="D426" s="1">
        <f>SQRT((F426^2 + H426^2 + G426^2 + I426^2)/4) * (1 + 1.4* SQRT(MAX(0, K426)/100) * (C426/490) * I426 + MAX(0, 1 - C426/490))</f>
        <v>0.63766816434043305</v>
      </c>
      <c r="E426" s="1">
        <v>1.520913</v>
      </c>
      <c r="F426" s="1">
        <v>0.96464799999999995</v>
      </c>
      <c r="G426" s="1">
        <v>0.483516</v>
      </c>
      <c r="H426" s="1">
        <v>0.3493</v>
      </c>
      <c r="I426" s="1">
        <v>0.43209999999999998</v>
      </c>
      <c r="K426" s="1">
        <v>0.61168529846024045</v>
      </c>
    </row>
    <row r="427" spans="1:11" ht="15.75" customHeight="1" x14ac:dyDescent="0.3">
      <c r="A427" s="1" t="s">
        <v>647</v>
      </c>
      <c r="B427" s="1" t="s">
        <v>12</v>
      </c>
      <c r="C427" s="1" t="s">
        <v>406</v>
      </c>
      <c r="D427" s="1">
        <f>SQRT((F427^2 + H427^2 + G427^2 + I427^2)/4) * (1 + 1.4* SQRT(MAX(0, K427)/100) * (C427/490) * I427 + MAX(0, 1 - C427/490))</f>
        <v>0.6786362391698505</v>
      </c>
      <c r="E427" s="1">
        <v>1.071429</v>
      </c>
      <c r="F427" s="1">
        <v>0.97609999999999997</v>
      </c>
      <c r="G427" s="1">
        <v>0.60059499999999999</v>
      </c>
      <c r="H427" s="1">
        <v>0.33129999999999998</v>
      </c>
      <c r="I427" s="1">
        <v>0.46929999999999999</v>
      </c>
      <c r="J427" s="1" t="s">
        <v>14</v>
      </c>
      <c r="K427" s="1">
        <v>0.61168529846024045</v>
      </c>
    </row>
    <row r="428" spans="1:11" ht="15.75" customHeight="1" x14ac:dyDescent="0.3">
      <c r="A428" s="1" t="s">
        <v>695</v>
      </c>
      <c r="B428" s="1" t="s">
        <v>12</v>
      </c>
      <c r="C428" s="1" t="s">
        <v>581</v>
      </c>
      <c r="D428" s="1">
        <f>SQRT((F428^2 + H428^2 + G428^2 + I428^2)/4) * (1 + 1.4* SQRT(MAX(0, K428)/100) * (C428/490) * I428 + MAX(0, 1 - C428/490))</f>
        <v>0.64212563050543314</v>
      </c>
      <c r="E428" s="1">
        <v>0.222965</v>
      </c>
      <c r="F428" s="1">
        <v>0.97892800000000002</v>
      </c>
      <c r="G428" s="1">
        <v>0.60083200000000003</v>
      </c>
      <c r="H428" s="1">
        <v>0.33129999999999998</v>
      </c>
      <c r="I428" s="1">
        <v>0.46929999999999999</v>
      </c>
      <c r="J428" s="1" t="s">
        <v>14</v>
      </c>
      <c r="K428" s="1">
        <v>-0.21595356998245377</v>
      </c>
    </row>
    <row r="429" spans="1:11" ht="15.75" customHeight="1" x14ac:dyDescent="0.3">
      <c r="A429" s="1" t="s">
        <v>833</v>
      </c>
      <c r="B429" s="1" t="s">
        <v>49</v>
      </c>
      <c r="C429" s="1" t="s">
        <v>792</v>
      </c>
      <c r="D429" s="1">
        <f>SQRT((F429^2 + H429^2 + G429^2 + I429^2)/4) * (1 + 1.4* SQRT(MAX(0, K429)/100) * (C429/490) * I429 + MAX(0, 1 - C429/490))</f>
        <v>0.58809647475029847</v>
      </c>
      <c r="E429" s="1">
        <v>9.6192379999999993</v>
      </c>
      <c r="F429" s="1">
        <v>0.94166099999999997</v>
      </c>
      <c r="G429" s="1">
        <v>0.33959299999999998</v>
      </c>
      <c r="H429" s="1">
        <v>0.35149999999999998</v>
      </c>
      <c r="I429" s="1">
        <v>0.43209999999999998</v>
      </c>
      <c r="K429" s="1">
        <v>0.18839103869653767</v>
      </c>
    </row>
    <row r="430" spans="1:11" ht="15.75" customHeight="1" x14ac:dyDescent="0.3">
      <c r="A430" s="1" t="s">
        <v>675</v>
      </c>
      <c r="B430" s="1" t="s">
        <v>49</v>
      </c>
      <c r="C430" s="1" t="s">
        <v>676</v>
      </c>
      <c r="D430" s="1">
        <f>SQRT((F430^2 + H430^2 + G430^2 + I430^2)/4) * (1 + 1.4* SQRT(MAX(0, K430)/100) * (C430/490) * I430 + MAX(0, 1 - C430/490))</f>
        <v>0.65306409819287181</v>
      </c>
      <c r="E430" s="1">
        <v>7.6566130000000001</v>
      </c>
      <c r="F430" s="1">
        <v>0.94820400000000005</v>
      </c>
      <c r="G430" s="1">
        <v>0.19927800000000001</v>
      </c>
      <c r="H430" s="1">
        <v>0.35149999999999998</v>
      </c>
      <c r="I430" s="1">
        <v>0.43209999999999998</v>
      </c>
      <c r="K430" s="1">
        <v>0.82278481012658233</v>
      </c>
    </row>
    <row r="431" spans="1:11" ht="15.75" customHeight="1" x14ac:dyDescent="0.3">
      <c r="A431" s="1" t="s">
        <v>784</v>
      </c>
      <c r="B431" s="1" t="s">
        <v>24</v>
      </c>
      <c r="C431" s="1" t="s">
        <v>785</v>
      </c>
      <c r="D431" s="1">
        <f>SQRT((F431^2 + H431^2 + G431^2 + I431^2)/4) * (1 + 1.4* SQRT(MAX(0, K431)/100) * (C431/490) * I431 + MAX(0, 1 - C431/490))</f>
        <v>0.60864264992476258</v>
      </c>
      <c r="E431" s="1">
        <v>2.684564</v>
      </c>
      <c r="F431" s="1">
        <v>0.94702299999999995</v>
      </c>
      <c r="G431" s="1">
        <v>9.3634999999999996E-2</v>
      </c>
      <c r="H431" s="1">
        <v>0.34870000000000001</v>
      </c>
      <c r="I431" s="1">
        <v>0.43209999999999998</v>
      </c>
      <c r="K431" s="1">
        <v>0.90218423551756888</v>
      </c>
    </row>
    <row r="432" spans="1:11" ht="15.75" customHeight="1" x14ac:dyDescent="0.3">
      <c r="A432" s="1" t="s">
        <v>679</v>
      </c>
      <c r="B432" s="1" t="s">
        <v>49</v>
      </c>
      <c r="C432" s="1" t="s">
        <v>680</v>
      </c>
      <c r="D432" s="1">
        <f>SQRT((F432^2 + H432^2 + G432^2 + I432^2)/4) * (1 + 1.4* SQRT(MAX(0, K432)/100) * (C432/490) * I432 + MAX(0, 1 - C432/490))</f>
        <v>0.65157353750547797</v>
      </c>
      <c r="E432" s="1">
        <v>3.6117379999999999</v>
      </c>
      <c r="F432" s="1">
        <v>0.96168600000000004</v>
      </c>
      <c r="G432" s="1">
        <v>0.24294199999999999</v>
      </c>
      <c r="H432" s="1">
        <v>0.35149999999999998</v>
      </c>
      <c r="I432" s="1">
        <v>0.43209999999999998</v>
      </c>
      <c r="K432" s="1">
        <v>0.82278481012658233</v>
      </c>
    </row>
    <row r="433" spans="1:11" ht="15.75" customHeight="1" x14ac:dyDescent="0.3">
      <c r="A433" s="1" t="s">
        <v>725</v>
      </c>
      <c r="B433" s="1" t="s">
        <v>21</v>
      </c>
      <c r="C433" s="1" t="s">
        <v>726</v>
      </c>
      <c r="D433" s="1">
        <f>SQRT((F433^2 + H433^2 + G433^2 + I433^2)/4) * (1 + 1.4* SQRT(MAX(0, K433)/100) * (C433/490) * I433 + MAX(0, 1 - C433/490))</f>
        <v>0.63140724481402566</v>
      </c>
      <c r="E433" s="1">
        <v>1.161103</v>
      </c>
      <c r="F433" s="1">
        <v>0.96584800000000004</v>
      </c>
      <c r="G433" s="1">
        <v>0.40046900000000002</v>
      </c>
      <c r="H433" s="1">
        <v>0.3493</v>
      </c>
      <c r="I433" s="1">
        <v>0.43209999999999998</v>
      </c>
      <c r="K433" s="1">
        <v>0.61168529846024045</v>
      </c>
    </row>
    <row r="434" spans="1:11" ht="15.75" customHeight="1" x14ac:dyDescent="0.3">
      <c r="A434" s="1" t="s">
        <v>638</v>
      </c>
      <c r="B434" s="1" t="s">
        <v>21</v>
      </c>
      <c r="C434" s="1" t="s">
        <v>442</v>
      </c>
      <c r="D434" s="1">
        <f>SQRT((F434^2 + H434^2 + G434^2 + I434^2)/4) * (1 + 1.4* SQRT(MAX(0, K434)/100) * (C434/490) * I434 + MAX(0, 1 - C434/490))</f>
        <v>0.68065795376895744</v>
      </c>
      <c r="E434" s="1">
        <v>4.555809</v>
      </c>
      <c r="F434" s="1">
        <v>0.95453200000000005</v>
      </c>
      <c r="G434" s="1">
        <v>0.54808699999999999</v>
      </c>
      <c r="H434" s="1">
        <v>0.3493</v>
      </c>
      <c r="I434" s="1">
        <v>0.43209999999999998</v>
      </c>
      <c r="K434" s="1">
        <v>-0.81769187883293071</v>
      </c>
    </row>
    <row r="435" spans="1:11" ht="15.75" customHeight="1" x14ac:dyDescent="0.3">
      <c r="A435" s="1" t="s">
        <v>765</v>
      </c>
      <c r="B435" s="1" t="s">
        <v>49</v>
      </c>
      <c r="C435" s="1" t="s">
        <v>766</v>
      </c>
      <c r="D435" s="1">
        <f>SQRT((F435^2 + H435^2 + G435^2 + I435^2)/4) * (1 + 1.4* SQRT(MAX(0, K435)/100) * (C435/490) * I435 + MAX(0, 1 - C435/490))</f>
        <v>0.61464534979236352</v>
      </c>
      <c r="E435" s="1">
        <v>0.26455000000000001</v>
      </c>
      <c r="F435" s="1">
        <v>0.97284400000000004</v>
      </c>
      <c r="G435" s="1">
        <v>0.37294699999999997</v>
      </c>
      <c r="H435" s="1">
        <v>0.35149999999999998</v>
      </c>
      <c r="I435" s="1">
        <v>0.43209999999999998</v>
      </c>
      <c r="K435" s="1">
        <v>0.18839103869653767</v>
      </c>
    </row>
    <row r="436" spans="1:11" ht="15.75" customHeight="1" x14ac:dyDescent="0.3">
      <c r="A436" s="1" t="s">
        <v>791</v>
      </c>
      <c r="B436" s="1" t="s">
        <v>49</v>
      </c>
      <c r="C436" s="1" t="s">
        <v>792</v>
      </c>
      <c r="D436" s="1">
        <f>SQRT((F436^2 + H436^2 + G436^2 + I436^2)/4) * (1 + 1.4* SQRT(MAX(0, K436)/100) * (C436/490) * I436 + MAX(0, 1 - C436/490))</f>
        <v>0.60392621801097945</v>
      </c>
      <c r="E436" s="1">
        <v>0.40080199999999999</v>
      </c>
      <c r="F436" s="1">
        <v>0.97238999999999998</v>
      </c>
      <c r="G436" s="1">
        <v>0.30173499999999998</v>
      </c>
      <c r="H436" s="1">
        <v>0.35149999999999998</v>
      </c>
      <c r="I436" s="1">
        <v>0.43209999999999998</v>
      </c>
      <c r="K436" s="1">
        <v>0.43795620437956206</v>
      </c>
    </row>
    <row r="437" spans="1:11" ht="15.75" customHeight="1" x14ac:dyDescent="0.3">
      <c r="A437" s="1" t="s">
        <v>613</v>
      </c>
      <c r="B437" s="1" t="s">
        <v>49</v>
      </c>
      <c r="C437" s="1" t="s">
        <v>614</v>
      </c>
      <c r="D437" s="1">
        <f>SQRT((F437^2 + H437^2 + G437^2 + I437^2)/4) * (1 + 1.4* SQRT(MAX(0, K437)/100) * (C437/490) * I437 + MAX(0, 1 - C437/490))</f>
        <v>0.71239394462456151</v>
      </c>
      <c r="E437" s="1">
        <v>5.0420170000000004</v>
      </c>
      <c r="F437" s="1">
        <v>0.95691899999999996</v>
      </c>
      <c r="G437" s="1">
        <v>0.17271900000000001</v>
      </c>
      <c r="H437" s="1">
        <v>0.35149999999999998</v>
      </c>
      <c r="I437" s="1">
        <v>0.43209999999999998</v>
      </c>
      <c r="K437" s="1">
        <v>-0.46073074038358514</v>
      </c>
    </row>
    <row r="438" spans="1:11" ht="15.75" customHeight="1" x14ac:dyDescent="0.3">
      <c r="A438" s="1" t="s">
        <v>810</v>
      </c>
      <c r="B438" s="1" t="s">
        <v>49</v>
      </c>
      <c r="C438" s="1" t="s">
        <v>811</v>
      </c>
      <c r="D438" s="1">
        <f>SQRT((F438^2 + H438^2 + G438^2 + I438^2)/4) * (1 + 1.4* SQRT(MAX(0, K438)/100) * (C438/490) * I438 + MAX(0, 1 - C438/490))</f>
        <v>0.59638855922125134</v>
      </c>
      <c r="E438" s="1">
        <v>2.08901</v>
      </c>
      <c r="F438" s="1">
        <v>0.96676200000000001</v>
      </c>
      <c r="G438" s="1">
        <v>0.42169400000000001</v>
      </c>
      <c r="H438" s="1">
        <v>0.35149999999999998</v>
      </c>
      <c r="I438" s="1">
        <v>0.43209999999999998</v>
      </c>
      <c r="K438" s="1">
        <v>-0.46073074038358514</v>
      </c>
    </row>
    <row r="439" spans="1:11" ht="15.75" customHeight="1" x14ac:dyDescent="0.3">
      <c r="A439" s="1" t="s">
        <v>809</v>
      </c>
      <c r="B439" s="1" t="s">
        <v>49</v>
      </c>
      <c r="C439" s="1" t="s">
        <v>733</v>
      </c>
      <c r="D439" s="1">
        <f>SQRT((F439^2 + H439^2 + G439^2 + I439^2)/4) * (1 + 1.4* SQRT(MAX(0, K439)/100) * (C439/490) * I439 + MAX(0, 1 - C439/490))</f>
        <v>0.59669666829512291</v>
      </c>
      <c r="E439" s="1">
        <v>0.27063599999999999</v>
      </c>
      <c r="F439" s="1">
        <v>0.97282299999999999</v>
      </c>
      <c r="G439" s="1">
        <v>0.40931699999999999</v>
      </c>
      <c r="H439" s="1">
        <v>0.35149999999999998</v>
      </c>
      <c r="I439" s="1">
        <v>0.43209999999999998</v>
      </c>
      <c r="K439" s="1">
        <v>-0.46073074038358514</v>
      </c>
    </row>
    <row r="440" spans="1:11" ht="15.75" customHeight="1" x14ac:dyDescent="0.3">
      <c r="A440" s="1" t="s">
        <v>668</v>
      </c>
      <c r="B440" s="1" t="s">
        <v>24</v>
      </c>
      <c r="C440" s="1" t="s">
        <v>669</v>
      </c>
      <c r="D440" s="1">
        <f>SQRT((F440^2 + H440^2 + G440^2 + I440^2)/4) * (1 + 1.4* SQRT(MAX(0, K440)/100) * (C440/490) * I440 + MAX(0, 1 - C440/490))</f>
        <v>0.65700686484282733</v>
      </c>
      <c r="E440" s="1">
        <v>2.0594969999999999</v>
      </c>
      <c r="F440" s="1">
        <v>0.94910600000000001</v>
      </c>
      <c r="G440" s="1">
        <v>0.46684599999999998</v>
      </c>
      <c r="H440" s="1">
        <v>0.34870000000000001</v>
      </c>
      <c r="I440" s="1">
        <v>0.43209999999999998</v>
      </c>
      <c r="K440" s="1">
        <v>0.85836909871244638</v>
      </c>
    </row>
    <row r="441" spans="1:11" ht="15.75" customHeight="1" x14ac:dyDescent="0.3">
      <c r="A441" s="1" t="s">
        <v>867</v>
      </c>
      <c r="B441" s="1" t="s">
        <v>16</v>
      </c>
      <c r="C441" s="1" t="s">
        <v>868</v>
      </c>
      <c r="D441" s="1">
        <f>SQRT((F441^2 + H441^2 + G441^2 + I441^2)/4) * (1 + 1.4* SQRT(MAX(0, K441)/100) * (C441/490) * I441 + MAX(0, 1 - C441/490))</f>
        <v>0.56508946268802895</v>
      </c>
      <c r="E441" s="1">
        <v>2.1828099999999999</v>
      </c>
      <c r="F441" s="1">
        <v>0.955349</v>
      </c>
      <c r="G441" s="1">
        <v>7.6458999999999999E-2</v>
      </c>
      <c r="H441" s="1">
        <v>0.34989999999999999</v>
      </c>
      <c r="I441" s="1">
        <v>0.43209999999999998</v>
      </c>
      <c r="K441" s="1">
        <v>4.8899755501222497E-2</v>
      </c>
    </row>
    <row r="442" spans="1:11" ht="15.75" customHeight="1" x14ac:dyDescent="0.3">
      <c r="A442" s="1" t="s">
        <v>359</v>
      </c>
      <c r="B442" s="1" t="s">
        <v>49</v>
      </c>
      <c r="C442" s="1" t="s">
        <v>140</v>
      </c>
      <c r="D442" s="1">
        <f>SQRT((F442^2 + H442^2 + G442^2 + I442^2)/4) * (1 + 1.4* SQRT(MAX(0, K442)/100) * (C442/490) * I442 + MAX(0, 1 - C442/490))</f>
        <v>0.89838811324499901</v>
      </c>
      <c r="E442" s="1">
        <v>1.793722</v>
      </c>
      <c r="F442" s="1">
        <v>0.967746</v>
      </c>
      <c r="G442" s="1">
        <v>0.25134000000000001</v>
      </c>
      <c r="H442" s="1">
        <v>0.35149999999999998</v>
      </c>
      <c r="I442" s="1">
        <v>0.43209999999999998</v>
      </c>
      <c r="K442" s="1">
        <v>0.82278481012658233</v>
      </c>
    </row>
    <row r="443" spans="1:11" ht="15.75" customHeight="1" x14ac:dyDescent="0.3">
      <c r="A443" s="1" t="s">
        <v>350</v>
      </c>
      <c r="B443" s="1" t="s">
        <v>16</v>
      </c>
      <c r="C443" s="1" t="s">
        <v>351</v>
      </c>
      <c r="D443" s="1">
        <f>SQRT((F443^2 + H443^2 + G443^2 + I443^2)/4) * (1 + 1.4* SQRT(MAX(0, K443)/100) * (C443/490) * I443 + MAX(0, 1 - C443/490))</f>
        <v>0.9077444265545227</v>
      </c>
      <c r="E443" s="1">
        <v>2.1621619999999999</v>
      </c>
      <c r="F443" s="1">
        <v>0.95541799999999999</v>
      </c>
      <c r="G443" s="1">
        <v>0.149647</v>
      </c>
      <c r="H443" s="1">
        <v>0.34989999999999999</v>
      </c>
      <c r="I443" s="1">
        <v>0.43209999999999998</v>
      </c>
      <c r="K443" s="1">
        <v>4.8899755501222497E-2</v>
      </c>
    </row>
    <row r="444" spans="1:11" ht="15.75" customHeight="1" x14ac:dyDescent="0.3">
      <c r="A444" s="1" t="s">
        <v>632</v>
      </c>
      <c r="B444" s="1" t="s">
        <v>16</v>
      </c>
      <c r="C444" s="1" t="s">
        <v>633</v>
      </c>
      <c r="D444" s="1">
        <f>SQRT((F444^2 + H444^2 + G444^2 + I444^2)/4) * (1 + 1.4* SQRT(MAX(0, K444)/100) * (C444/490) * I444 + MAX(0, 1 - C444/490))</f>
        <v>0.68362956197995672</v>
      </c>
      <c r="E444" s="1">
        <v>0.99173599999999995</v>
      </c>
      <c r="F444" s="1">
        <v>0.95931999999999995</v>
      </c>
      <c r="G444" s="1">
        <v>0.66279999999999994</v>
      </c>
      <c r="H444" s="1">
        <v>0.34989999999999999</v>
      </c>
      <c r="I444" s="1">
        <v>0.43209999999999998</v>
      </c>
      <c r="K444" s="1">
        <v>0.61168529846024045</v>
      </c>
    </row>
    <row r="445" spans="1:11" ht="15.75" customHeight="1" x14ac:dyDescent="0.3">
      <c r="A445" s="1" t="s">
        <v>682</v>
      </c>
      <c r="B445" s="1" t="s">
        <v>12</v>
      </c>
      <c r="C445" s="1" t="s">
        <v>683</v>
      </c>
      <c r="D445" s="1">
        <f>SQRT((F445^2 + H445^2 + G445^2 + I445^2)/4) * (1 + 1.4* SQRT(MAX(0, K445)/100) * (C445/490) * I445 + MAX(0, 1 - C445/490))</f>
        <v>0.64990728937145026</v>
      </c>
      <c r="E445" s="1">
        <v>0.56337999999999999</v>
      </c>
      <c r="F445" s="1">
        <v>0.97779400000000005</v>
      </c>
      <c r="G445" s="1">
        <v>0.42117700000000002</v>
      </c>
      <c r="H445" s="1">
        <v>0.33129999999999998</v>
      </c>
      <c r="I445" s="1">
        <v>0.46929999999999999</v>
      </c>
      <c r="J445" s="1" t="s">
        <v>14</v>
      </c>
      <c r="K445" s="1">
        <v>0.61168529846024045</v>
      </c>
    </row>
    <row r="446" spans="1:11" ht="15.75" customHeight="1" x14ac:dyDescent="0.3">
      <c r="A446" s="1" t="s">
        <v>701</v>
      </c>
      <c r="B446" s="1" t="s">
        <v>12</v>
      </c>
      <c r="C446" s="1" t="s">
        <v>702</v>
      </c>
      <c r="D446" s="1">
        <f>SQRT((F446^2 + H446^2 + G446^2 + I446^2)/4) * (1 + 1.4* SQRT(MAX(0, K446)/100) * (C446/490) * I446 + MAX(0, 1 - C446/490))</f>
        <v>0.6383966306758283</v>
      </c>
      <c r="E446" s="1">
        <v>0.191939</v>
      </c>
      <c r="F446" s="1">
        <v>0.97903200000000001</v>
      </c>
      <c r="G446" s="1">
        <v>0.58454700000000004</v>
      </c>
      <c r="H446" s="1">
        <v>0.33129999999999998</v>
      </c>
      <c r="I446" s="1">
        <v>0.46929999999999999</v>
      </c>
      <c r="J446" s="1" t="s">
        <v>14</v>
      </c>
      <c r="K446" s="1">
        <v>-0.21595356998245377</v>
      </c>
    </row>
    <row r="447" spans="1:11" ht="15.75" customHeight="1" x14ac:dyDescent="0.3">
      <c r="A447" s="1" t="s">
        <v>807</v>
      </c>
      <c r="B447" s="1" t="s">
        <v>49</v>
      </c>
      <c r="C447" s="1" t="s">
        <v>808</v>
      </c>
      <c r="D447" s="1">
        <f>SQRT((F447^2 + H447^2 + G447^2 + I447^2)/4) * (1 + 1.4* SQRT(MAX(0, K447)/100) * (C447/490) * I447 + MAX(0, 1 - C447/490))</f>
        <v>0.5979962163327206</v>
      </c>
      <c r="E447" s="1">
        <v>0.72398200000000001</v>
      </c>
      <c r="F447" s="1">
        <v>0.97131199999999995</v>
      </c>
      <c r="G447" s="1">
        <v>0.42034300000000002</v>
      </c>
      <c r="H447" s="1">
        <v>0.35149999999999998</v>
      </c>
      <c r="I447" s="1">
        <v>0.43209999999999998</v>
      </c>
      <c r="K447" s="1">
        <v>-0.46073074038358514</v>
      </c>
    </row>
    <row r="448" spans="1:11" ht="15.75" customHeight="1" x14ac:dyDescent="0.3">
      <c r="A448" s="1" t="s">
        <v>795</v>
      </c>
      <c r="B448" s="1" t="s">
        <v>16</v>
      </c>
      <c r="C448" s="1" t="s">
        <v>796</v>
      </c>
      <c r="D448" s="1">
        <f>SQRT((F448^2 + H448^2 + G448^2 + I448^2)/4) * (1 + 1.4* SQRT(MAX(0, K448)/100) * (C448/490) * I448 + MAX(0, 1 - C448/490))</f>
        <v>0.60164191579452686</v>
      </c>
      <c r="E448" s="1">
        <v>0.445434</v>
      </c>
      <c r="F448" s="1">
        <v>0.96114100000000002</v>
      </c>
      <c r="G448" s="1">
        <v>0</v>
      </c>
      <c r="H448" s="1">
        <v>0.34989999999999999</v>
      </c>
      <c r="I448" s="1">
        <v>0.43209999999999998</v>
      </c>
      <c r="K448" s="1">
        <v>0</v>
      </c>
    </row>
    <row r="449" spans="1:11" ht="15.75" customHeight="1" x14ac:dyDescent="0.3">
      <c r="A449" s="1" t="s">
        <v>849</v>
      </c>
      <c r="B449" s="1" t="s">
        <v>36</v>
      </c>
      <c r="C449" s="1" t="s">
        <v>850</v>
      </c>
      <c r="D449" s="1">
        <f>SQRT((F449^2 + H449^2 + G449^2 + I449^2)/4) * (1 + 1.4* SQRT(MAX(0, K449)/100) * (C449/490) * I449 + MAX(0, 1 - C449/490))</f>
        <v>0.57950007799628489</v>
      </c>
      <c r="E449" s="1">
        <v>4.4526899999999996</v>
      </c>
      <c r="F449" s="1">
        <v>0.90059900000000004</v>
      </c>
      <c r="G449" s="1">
        <v>0.228126</v>
      </c>
      <c r="H449" s="1">
        <v>0.36220000000000002</v>
      </c>
      <c r="I449" s="1">
        <v>0.43209999999999998</v>
      </c>
      <c r="K449" s="1">
        <v>0.99826388888888884</v>
      </c>
    </row>
    <row r="450" spans="1:11" ht="15.75" customHeight="1" x14ac:dyDescent="0.3">
      <c r="A450" s="1" t="s">
        <v>502</v>
      </c>
      <c r="B450" s="1" t="s">
        <v>12</v>
      </c>
      <c r="C450" s="1" t="s">
        <v>503</v>
      </c>
      <c r="D450" s="1">
        <f>SQRT((F450^2 + H450^2 + G450^2 + I450^2)/4) * (1 + 1.4* SQRT(MAX(0, K450)/100) * (C450/490) * I450 + MAX(0, 1 - C450/490))</f>
        <v>0.75165254504913404</v>
      </c>
      <c r="E450" s="1">
        <v>2.7855150000000002</v>
      </c>
      <c r="F450" s="1">
        <v>0.97038599999999997</v>
      </c>
      <c r="G450" s="1">
        <v>0.36793799999999999</v>
      </c>
      <c r="H450" s="1">
        <v>0.33129999999999998</v>
      </c>
      <c r="I450" s="1">
        <v>0.46929999999999999</v>
      </c>
      <c r="J450" s="1" t="s">
        <v>14</v>
      </c>
      <c r="K450" s="1">
        <v>-0.21595356998245377</v>
      </c>
    </row>
    <row r="451" spans="1:11" ht="15.75" customHeight="1" x14ac:dyDescent="0.3">
      <c r="A451" s="1" t="s">
        <v>381</v>
      </c>
      <c r="B451" s="1" t="s">
        <v>24</v>
      </c>
      <c r="C451" s="1" t="s">
        <v>382</v>
      </c>
      <c r="D451" s="1">
        <f>SQRT((F451^2 + H451^2 + G451^2 + I451^2)/4) * (1 + 1.4* SQRT(MAX(0, K451)/100) * (C451/490) * I451 + MAX(0, 1 - C451/490))</f>
        <v>0.869761962242249</v>
      </c>
      <c r="E451" s="1">
        <v>6.5843619999999996</v>
      </c>
      <c r="F451" s="1">
        <v>0.93402300000000005</v>
      </c>
      <c r="G451" s="1">
        <v>0.36586099999999999</v>
      </c>
      <c r="H451" s="1">
        <v>0.34870000000000001</v>
      </c>
      <c r="I451" s="1">
        <v>0.43209999999999998</v>
      </c>
      <c r="K451" s="1">
        <v>0.19102196752626552</v>
      </c>
    </row>
    <row r="452" spans="1:11" ht="15.75" customHeight="1" x14ac:dyDescent="0.3">
      <c r="A452" s="1" t="s">
        <v>727</v>
      </c>
      <c r="B452" s="1" t="s">
        <v>16</v>
      </c>
      <c r="C452" s="1" t="s">
        <v>704</v>
      </c>
      <c r="D452" s="1">
        <f>SQRT((F452^2 + H452^2 + G452^2 + I452^2)/4) * (1 + 1.4* SQRT(MAX(0, K452)/100) * (C452/490) * I452 + MAX(0, 1 - C452/490))</f>
        <v>0.62781938995066588</v>
      </c>
      <c r="E452" s="1">
        <v>1.9580420000000001</v>
      </c>
      <c r="F452" s="1">
        <v>0.95609900000000003</v>
      </c>
      <c r="G452" s="1">
        <v>0.39535199999999998</v>
      </c>
      <c r="H452" s="1">
        <v>0.34989999999999999</v>
      </c>
      <c r="I452" s="1">
        <v>0.43209999999999998</v>
      </c>
      <c r="K452" s="1">
        <v>0.61168529846024045</v>
      </c>
    </row>
    <row r="453" spans="1:11" ht="15.75" customHeight="1" x14ac:dyDescent="0.3">
      <c r="A453" s="1" t="s">
        <v>799</v>
      </c>
      <c r="B453" s="1" t="s">
        <v>16</v>
      </c>
      <c r="C453" s="1" t="s">
        <v>800</v>
      </c>
      <c r="D453" s="1">
        <f>SQRT((F453^2 + H453^2 + G453^2 + I453^2)/4) * (1 + 1.4* SQRT(MAX(0, K453)/100) * (C453/490) * I453 + MAX(0, 1 - C453/490))</f>
        <v>0.60147634265543248</v>
      </c>
      <c r="E453" s="1">
        <v>1.096892</v>
      </c>
      <c r="F453" s="1">
        <v>0.95896899999999996</v>
      </c>
      <c r="G453" s="1">
        <v>0.41959800000000003</v>
      </c>
      <c r="H453" s="1">
        <v>0.34989999999999999</v>
      </c>
      <c r="I453" s="1">
        <v>0.43209999999999998</v>
      </c>
      <c r="K453" s="1">
        <v>4.8899755501222497E-2</v>
      </c>
    </row>
    <row r="454" spans="1:11" ht="15.75" customHeight="1" x14ac:dyDescent="0.3">
      <c r="A454" s="1" t="s">
        <v>543</v>
      </c>
      <c r="B454" s="1" t="s">
        <v>21</v>
      </c>
      <c r="C454" s="1" t="s">
        <v>544</v>
      </c>
      <c r="D454" s="1">
        <f>SQRT((F454^2 + H454^2 + G454^2 + I454^2)/4) * (1 + 1.4* SQRT(MAX(0, K454)/100) * (C454/490) * I454 + MAX(0, 1 - C454/490))</f>
        <v>0.74601411168210396</v>
      </c>
      <c r="E454" s="1">
        <v>3.5190619999999999</v>
      </c>
      <c r="F454" s="1">
        <v>0.95798799999999995</v>
      </c>
      <c r="G454" s="1">
        <v>0.28732000000000002</v>
      </c>
      <c r="H454" s="1">
        <v>0.3493</v>
      </c>
      <c r="I454" s="1">
        <v>0.43209999999999998</v>
      </c>
      <c r="K454" s="1">
        <v>-0.81769187883293071</v>
      </c>
    </row>
    <row r="455" spans="1:11" ht="15.75" customHeight="1" x14ac:dyDescent="0.3">
      <c r="A455" s="1" t="s">
        <v>593</v>
      </c>
      <c r="B455" s="1" t="s">
        <v>21</v>
      </c>
      <c r="C455" s="1" t="s">
        <v>594</v>
      </c>
      <c r="D455" s="1">
        <f>SQRT((F455^2 + H455^2 + G455^2 + I455^2)/4) * (1 + 1.4* SQRT(MAX(0, K455)/100) * (C455/490) * I455 + MAX(0, 1 - C455/490))</f>
        <v>0.73572058999932877</v>
      </c>
      <c r="E455" s="1">
        <v>10.416667</v>
      </c>
      <c r="F455" s="1">
        <v>0.93499600000000005</v>
      </c>
      <c r="G455" s="1">
        <v>0.441853</v>
      </c>
      <c r="H455" s="1">
        <v>0.3493</v>
      </c>
      <c r="I455" s="1">
        <v>0.43209999999999998</v>
      </c>
      <c r="K455" s="1">
        <v>0.61168529846024045</v>
      </c>
    </row>
    <row r="456" spans="1:11" ht="15.75" customHeight="1" x14ac:dyDescent="0.3">
      <c r="A456" s="1" t="s">
        <v>769</v>
      </c>
      <c r="B456" s="1" t="s">
        <v>21</v>
      </c>
      <c r="C456" s="1" t="s">
        <v>770</v>
      </c>
      <c r="D456" s="1">
        <f>SQRT((F456^2 + H456^2 + G456^2 + I456^2)/4) * (1 + 1.4* SQRT(MAX(0, K456)/100) * (C456/490) * I456 + MAX(0, 1 - C456/490))</f>
        <v>0.61431436900344605</v>
      </c>
      <c r="E456" s="1">
        <v>3.7184590000000002</v>
      </c>
      <c r="F456" s="1">
        <v>0.95732300000000004</v>
      </c>
      <c r="G456" s="1">
        <v>0.31053999999999998</v>
      </c>
      <c r="H456" s="1">
        <v>0.3493</v>
      </c>
      <c r="I456" s="1">
        <v>0.43209999999999998</v>
      </c>
      <c r="K456" s="1">
        <v>0.54655475307437051</v>
      </c>
    </row>
    <row r="457" spans="1:11" ht="15.75" customHeight="1" x14ac:dyDescent="0.3">
      <c r="A457" s="1" t="s">
        <v>288</v>
      </c>
      <c r="B457" s="1" t="s">
        <v>21</v>
      </c>
      <c r="C457" s="1" t="s">
        <v>289</v>
      </c>
      <c r="D457" s="1">
        <f>SQRT((F457^2 + H457^2 + G457^2 + I457^2)/4) * (1 + 1.4* SQRT(MAX(0, K457)/100) * (C457/490) * I457 + MAX(0, 1 - C457/490))</f>
        <v>0.95241315771857837</v>
      </c>
      <c r="E457" s="1">
        <v>5.3333329999999997</v>
      </c>
      <c r="F457" s="1">
        <v>0.95194000000000001</v>
      </c>
      <c r="G457" s="1">
        <v>0.22286900000000001</v>
      </c>
      <c r="H457" s="1">
        <v>0.3493</v>
      </c>
      <c r="I457" s="1">
        <v>0.43209999999999998</v>
      </c>
      <c r="K457" s="1">
        <v>-0.81769187883293071</v>
      </c>
    </row>
    <row r="458" spans="1:11" ht="15.75" customHeight="1" x14ac:dyDescent="0.3">
      <c r="A458" s="1" t="s">
        <v>728</v>
      </c>
      <c r="B458" s="1" t="s">
        <v>36</v>
      </c>
      <c r="C458" s="1" t="s">
        <v>477</v>
      </c>
      <c r="D458" s="1">
        <f>SQRT((F458^2 + H458^2 + G458^2 + I458^2)/4) * (1 + 1.4* SQRT(MAX(0, K458)/100) * (C458/490) * I458 + MAX(0, 1 - C458/490))</f>
        <v>0.62769418523347587</v>
      </c>
      <c r="E458" s="1">
        <v>5.5319149999999997</v>
      </c>
      <c r="F458" s="1">
        <v>0.89700199999999997</v>
      </c>
      <c r="G458" s="1">
        <v>0.427593</v>
      </c>
      <c r="H458" s="1">
        <v>0.36220000000000002</v>
      </c>
      <c r="I458" s="1">
        <v>0.43209999999999998</v>
      </c>
      <c r="K458" s="1">
        <v>0.99826388888888884</v>
      </c>
    </row>
    <row r="459" spans="1:11" ht="15.75" customHeight="1" x14ac:dyDescent="0.3">
      <c r="A459" s="1" t="s">
        <v>476</v>
      </c>
      <c r="B459" s="1" t="s">
        <v>24</v>
      </c>
      <c r="C459" s="1" t="s">
        <v>477</v>
      </c>
      <c r="D459" s="1">
        <f>SQRT((F459^2 + H459^2 + G459^2 + I459^2)/4) * (1 + 1.4* SQRT(MAX(0, K459)/100) * (C459/490) * I459 + MAX(0, 1 - C459/490))</f>
        <v>0.76645522782425901</v>
      </c>
      <c r="E459" s="1">
        <v>0</v>
      </c>
      <c r="F459" s="1">
        <v>0.95597100000000002</v>
      </c>
      <c r="G459" s="1">
        <v>0.91959900000000006</v>
      </c>
      <c r="H459" s="1">
        <v>0.34870000000000001</v>
      </c>
      <c r="I459" s="1">
        <v>0.43209999999999998</v>
      </c>
      <c r="K459" s="1">
        <v>0.18839103869653767</v>
      </c>
    </row>
    <row r="460" spans="1:11" ht="15.75" customHeight="1" x14ac:dyDescent="0.3">
      <c r="A460" s="1" t="s">
        <v>686</v>
      </c>
      <c r="B460" s="1" t="s">
        <v>24</v>
      </c>
      <c r="C460" s="1" t="s">
        <v>687</v>
      </c>
      <c r="D460" s="1">
        <f>SQRT((F460^2 + H460^2 + G460^2 + I460^2)/4) * (1 + 1.4* SQRT(MAX(0, K460)/100) * (C460/490) * I460 + MAX(0, 1 - C460/490))</f>
        <v>0.64759172808638166</v>
      </c>
      <c r="E460" s="1">
        <v>2.5316459999999998</v>
      </c>
      <c r="F460" s="1">
        <v>0.94753299999999996</v>
      </c>
      <c r="G460" s="1">
        <v>0.45261800000000002</v>
      </c>
      <c r="H460" s="1">
        <v>0.34870000000000001</v>
      </c>
      <c r="I460" s="1">
        <v>0.43209999999999998</v>
      </c>
      <c r="K460" s="1">
        <v>0.85836909871244638</v>
      </c>
    </row>
    <row r="461" spans="1:11" ht="15.75" customHeight="1" x14ac:dyDescent="0.3">
      <c r="A461" s="1" t="s">
        <v>740</v>
      </c>
      <c r="B461" s="1" t="s">
        <v>21</v>
      </c>
      <c r="C461" s="1" t="s">
        <v>741</v>
      </c>
      <c r="D461" s="1">
        <f>SQRT((F461^2 + H461^2 + G461^2 + I461^2)/4) * (1 + 1.4* SQRT(MAX(0, K461)/100) * (C461/490) * I461 + MAX(0, 1 - C461/490))</f>
        <v>0.62365714998311983</v>
      </c>
      <c r="E461" s="1">
        <v>6.8322979999999998</v>
      </c>
      <c r="F461" s="1">
        <v>0.94694400000000001</v>
      </c>
      <c r="G461" s="1">
        <v>0.36612600000000001</v>
      </c>
      <c r="H461" s="1">
        <v>0.3493</v>
      </c>
      <c r="I461" s="1">
        <v>0.43209999999999998</v>
      </c>
      <c r="K461" s="1">
        <v>0.61168529846024045</v>
      </c>
    </row>
    <row r="462" spans="1:11" ht="15.75" customHeight="1" x14ac:dyDescent="0.3">
      <c r="A462" s="1" t="s">
        <v>825</v>
      </c>
      <c r="B462" s="1" t="s">
        <v>21</v>
      </c>
      <c r="C462" s="1" t="s">
        <v>826</v>
      </c>
      <c r="D462" s="1">
        <f>SQRT((F462^2 + H462^2 + G462^2 + I462^2)/4) * (1 + 1.4* SQRT(MAX(0, K462)/100) * (C462/490) * I462 + MAX(0, 1 - C462/490))</f>
        <v>0.5907453329601936</v>
      </c>
      <c r="E462" s="1">
        <v>3.125</v>
      </c>
      <c r="F462" s="1">
        <v>0.95930099999999996</v>
      </c>
      <c r="G462" s="1">
        <v>0.408584</v>
      </c>
      <c r="H462" s="1">
        <v>0.3493</v>
      </c>
      <c r="I462" s="1">
        <v>0.43209999999999998</v>
      </c>
      <c r="K462" s="1">
        <v>-0.81769187883293071</v>
      </c>
    </row>
    <row r="463" spans="1:11" ht="15.75" customHeight="1" x14ac:dyDescent="0.3">
      <c r="A463" s="1" t="s">
        <v>862</v>
      </c>
      <c r="B463" s="1" t="s">
        <v>49</v>
      </c>
      <c r="C463" s="1" t="s">
        <v>642</v>
      </c>
      <c r="D463" s="1">
        <f>SQRT((F463^2 + H463^2 + G463^2 + I463^2)/4) * (1 + 1.4* SQRT(MAX(0, K463)/100) * (C463/490) * I463 + MAX(0, 1 - C463/490))</f>
        <v>0.5697215283375292</v>
      </c>
      <c r="E463" s="1">
        <v>4.301075</v>
      </c>
      <c r="F463" s="1">
        <v>0.95938900000000005</v>
      </c>
      <c r="G463" s="1">
        <v>0.26007799999999998</v>
      </c>
      <c r="H463" s="1">
        <v>0.35149999999999998</v>
      </c>
      <c r="I463" s="1">
        <v>0.43209999999999998</v>
      </c>
      <c r="K463" s="1">
        <v>-0.46073074038358514</v>
      </c>
    </row>
    <row r="464" spans="1:11" ht="15.75" customHeight="1" x14ac:dyDescent="0.3">
      <c r="A464" s="1" t="s">
        <v>232</v>
      </c>
      <c r="B464" s="1" t="s">
        <v>24</v>
      </c>
      <c r="C464" s="1" t="s">
        <v>233</v>
      </c>
      <c r="D464" s="1">
        <f>SQRT((F464^2 + H464^2 + G464^2 + I464^2)/4) * (1 + 1.4* SQRT(MAX(0, K464)/100) * (C464/490) * I464 + MAX(0, 1 - C464/490))</f>
        <v>1.0249753131119714</v>
      </c>
      <c r="E464" s="1">
        <v>0</v>
      </c>
      <c r="F464" s="1">
        <v>0.95597100000000002</v>
      </c>
      <c r="G464" s="1">
        <v>0.153171</v>
      </c>
      <c r="H464" s="1">
        <v>0.34870000000000001</v>
      </c>
      <c r="I464" s="1">
        <v>0.43209999999999998</v>
      </c>
      <c r="K464" s="1">
        <v>0</v>
      </c>
    </row>
    <row r="465" spans="1:11" ht="15.75" customHeight="1" x14ac:dyDescent="0.3">
      <c r="A465" s="1" t="s">
        <v>692</v>
      </c>
      <c r="B465" s="1" t="s">
        <v>21</v>
      </c>
      <c r="C465" s="1" t="s">
        <v>577</v>
      </c>
      <c r="D465" s="1">
        <f>SQRT((F465^2 + H465^2 + G465^2 + I465^2)/4) * (1 + 1.4* SQRT(MAX(0, K465)/100) * (C465/490) * I465 + MAX(0, 1 - C465/490))</f>
        <v>0.64303585792849494</v>
      </c>
      <c r="E465" s="1">
        <v>4.186795</v>
      </c>
      <c r="F465" s="1">
        <v>0.955762</v>
      </c>
      <c r="G465" s="1">
        <v>0.499942</v>
      </c>
      <c r="H465" s="1">
        <v>0.3493</v>
      </c>
      <c r="I465" s="1">
        <v>0.43209999999999998</v>
      </c>
      <c r="K465" s="1">
        <v>0.61168529846024045</v>
      </c>
    </row>
    <row r="466" spans="1:11" ht="15.75" customHeight="1" x14ac:dyDescent="0.3">
      <c r="A466" s="1" t="s">
        <v>803</v>
      </c>
      <c r="B466" s="1" t="s">
        <v>24</v>
      </c>
      <c r="C466" s="1" t="s">
        <v>804</v>
      </c>
      <c r="D466" s="1">
        <f>SQRT((F466^2 + H466^2 + G466^2 + I466^2)/4) * (1 + 1.4* SQRT(MAX(0, K466)/100) * (C466/490) * I466 + MAX(0, 1 - C466/490))</f>
        <v>0.59930113695176368</v>
      </c>
      <c r="E466" s="1">
        <v>0</v>
      </c>
      <c r="F466" s="1">
        <v>0.95597100000000002</v>
      </c>
      <c r="G466" s="1">
        <v>0.34603</v>
      </c>
      <c r="H466" s="1">
        <v>0.34870000000000001</v>
      </c>
      <c r="I466" s="1">
        <v>0.43209999999999998</v>
      </c>
      <c r="K466" s="1">
        <v>0</v>
      </c>
    </row>
    <row r="467" spans="1:11" ht="15.75" customHeight="1" x14ac:dyDescent="0.3">
      <c r="A467" s="1" t="s">
        <v>252</v>
      </c>
      <c r="B467" s="1" t="s">
        <v>24</v>
      </c>
      <c r="C467" s="1" t="s">
        <v>253</v>
      </c>
      <c r="D467" s="1">
        <f>SQRT((F467^2 + H467^2 + G467^2 + I467^2)/4) * (1 + 1.4* SQRT(MAX(0, K467)/100) * (C467/490) * I467 + MAX(0, 1 - C467/490))</f>
        <v>0.9987640647529773</v>
      </c>
      <c r="E467" s="1">
        <v>3</v>
      </c>
      <c r="F467" s="1">
        <v>0.94597100000000001</v>
      </c>
      <c r="G467" s="1">
        <v>0.57201599999999997</v>
      </c>
      <c r="H467" s="1">
        <v>0.34870000000000001</v>
      </c>
      <c r="I467" s="1">
        <v>0.43209999999999998</v>
      </c>
      <c r="K467" s="1">
        <v>0.85836909871244638</v>
      </c>
    </row>
    <row r="468" spans="1:11" ht="15.75" customHeight="1" x14ac:dyDescent="0.3">
      <c r="A468" s="1" t="s">
        <v>636</v>
      </c>
      <c r="B468" s="1" t="s">
        <v>45</v>
      </c>
      <c r="C468" s="1" t="s">
        <v>436</v>
      </c>
      <c r="D468" s="1">
        <f>SQRT((F468^2 + H468^2 + G468^2 + I468^2)/4) * (1 + 1.4* SQRT(MAX(0, K468)/100) * (C468/490) * I468 + MAX(0, 1 - C468/490))</f>
        <v>0.68227492061966621</v>
      </c>
      <c r="E468" s="1">
        <v>1.1152420000000001</v>
      </c>
      <c r="F468" s="1">
        <v>0.93818900000000005</v>
      </c>
      <c r="G468" s="1">
        <v>0.418379</v>
      </c>
      <c r="H468" s="1">
        <v>0.35520000000000002</v>
      </c>
      <c r="I468" s="1">
        <v>0.59689999999999999</v>
      </c>
      <c r="J468" s="1" t="s">
        <v>47</v>
      </c>
      <c r="K468" s="1">
        <v>1.1976047904191616</v>
      </c>
    </row>
    <row r="469" spans="1:11" ht="15.75" customHeight="1" x14ac:dyDescent="0.3">
      <c r="A469" s="1" t="s">
        <v>617</v>
      </c>
      <c r="B469" s="1" t="s">
        <v>45</v>
      </c>
      <c r="C469" s="1" t="s">
        <v>618</v>
      </c>
      <c r="D469" s="1">
        <f>SQRT((F469^2 + H469^2 + G469^2 + I469^2)/4) * (1 + 1.4* SQRT(MAX(0, K469)/100) * (C469/490) * I469 + MAX(0, 1 - C469/490))</f>
        <v>0.70638982870949052</v>
      </c>
      <c r="E469" s="1">
        <v>0</v>
      </c>
      <c r="F469" s="1">
        <v>0.94190700000000005</v>
      </c>
      <c r="G469" s="1">
        <v>0.69854300000000003</v>
      </c>
      <c r="H469" s="1">
        <v>0.35520000000000002</v>
      </c>
      <c r="I469" s="1">
        <v>0.59689999999999999</v>
      </c>
      <c r="J469" s="1" t="s">
        <v>47</v>
      </c>
      <c r="K469" s="1">
        <v>0.18839103869653767</v>
      </c>
    </row>
    <row r="470" spans="1:11" ht="15.75" customHeight="1" x14ac:dyDescent="0.3">
      <c r="A470" s="1" t="s">
        <v>797</v>
      </c>
      <c r="B470" s="1" t="s">
        <v>49</v>
      </c>
      <c r="C470" s="1" t="s">
        <v>798</v>
      </c>
      <c r="D470" s="1">
        <f>SQRT((F470^2 + H470^2 + G470^2 + I470^2)/4) * (1 + 1.4* SQRT(MAX(0, K470)/100) * (C470/490) * I470 + MAX(0, 1 - C470/490))</f>
        <v>0.60149853901245331</v>
      </c>
      <c r="E470" s="1">
        <v>2.763385</v>
      </c>
      <c r="F470" s="1">
        <v>0.96451399999999998</v>
      </c>
      <c r="G470" s="1">
        <v>0.34765400000000002</v>
      </c>
      <c r="H470" s="1">
        <v>0.35149999999999998</v>
      </c>
      <c r="I470" s="1">
        <v>0.43209999999999998</v>
      </c>
      <c r="K470" s="1">
        <v>0.18839103869653767</v>
      </c>
    </row>
    <row r="471" spans="1:11" ht="15.75" customHeight="1" x14ac:dyDescent="0.3">
      <c r="A471" s="1" t="s">
        <v>786</v>
      </c>
      <c r="B471" s="1" t="s">
        <v>24</v>
      </c>
      <c r="C471" s="1" t="s">
        <v>509</v>
      </c>
      <c r="D471" s="1">
        <f>SQRT((F471^2 + H471^2 + G471^2 + I471^2)/4) * (1 + 1.4* SQRT(MAX(0, K471)/100) * (C471/490) * I471 + MAX(0, 1 - C471/490))</f>
        <v>0.60849972243467421</v>
      </c>
      <c r="E471" s="1">
        <v>4.1208790000000004</v>
      </c>
      <c r="F471" s="1">
        <v>0.94223500000000004</v>
      </c>
      <c r="G471" s="1">
        <v>0.41934500000000002</v>
      </c>
      <c r="H471" s="1">
        <v>0.34870000000000001</v>
      </c>
      <c r="I471" s="1">
        <v>0.43209999999999998</v>
      </c>
      <c r="K471" s="1">
        <v>0.18839103869653767</v>
      </c>
    </row>
    <row r="472" spans="1:11" ht="15.75" customHeight="1" x14ac:dyDescent="0.3">
      <c r="A472" s="1" t="s">
        <v>414</v>
      </c>
      <c r="B472" s="1" t="s">
        <v>24</v>
      </c>
      <c r="C472" s="1" t="s">
        <v>415</v>
      </c>
      <c r="D472" s="1">
        <f>SQRT((F472^2 + H472^2 + G472^2 + I472^2)/4) * (1 + 1.4* SQRT(MAX(0, K472)/100) * (C472/490) * I472 + MAX(0, 1 - C472/490))</f>
        <v>0.8391353213768814</v>
      </c>
      <c r="E472" s="1">
        <v>5.395683</v>
      </c>
      <c r="F472" s="1">
        <v>0.93798599999999999</v>
      </c>
      <c r="G472" s="1">
        <v>0.39479900000000001</v>
      </c>
      <c r="H472" s="1">
        <v>0.34870000000000001</v>
      </c>
      <c r="I472" s="1">
        <v>0.43209999999999998</v>
      </c>
      <c r="K472" s="1">
        <v>0.19102196752626552</v>
      </c>
    </row>
    <row r="473" spans="1:11" ht="15.75" customHeight="1" x14ac:dyDescent="0.3">
      <c r="A473" s="1" t="s">
        <v>801</v>
      </c>
      <c r="B473" s="1" t="s">
        <v>12</v>
      </c>
      <c r="C473" s="1" t="s">
        <v>802</v>
      </c>
      <c r="D473" s="1">
        <f>SQRT((F473^2 + H473^2 + G473^2 + I473^2)/4) * (1 + 1.4* SQRT(MAX(0, K473)/100) * (C473/490) * I473 + MAX(0, 1 - C473/490))</f>
        <v>0.60033077372728449</v>
      </c>
      <c r="E473" s="1">
        <v>2.0915029999999999</v>
      </c>
      <c r="F473" s="1">
        <v>0.97270000000000001</v>
      </c>
      <c r="G473" s="1">
        <v>0.40674399999999999</v>
      </c>
      <c r="H473" s="1">
        <v>0.33129999999999998</v>
      </c>
      <c r="I473" s="1">
        <v>0.46929999999999999</v>
      </c>
      <c r="J473" s="1" t="s">
        <v>14</v>
      </c>
      <c r="K473" s="1">
        <v>-0.21595356998245377</v>
      </c>
    </row>
    <row r="474" spans="1:11" ht="15.75" customHeight="1" x14ac:dyDescent="0.3">
      <c r="A474" s="1" t="s">
        <v>776</v>
      </c>
      <c r="B474" s="1" t="s">
        <v>49</v>
      </c>
      <c r="C474" s="1" t="s">
        <v>438</v>
      </c>
      <c r="D474" s="1">
        <f>SQRT((F474^2 + H474^2 + G474^2 + I474^2)/4) * (1 + 1.4* SQRT(MAX(0, K474)/100) * (C474/490) * I474 + MAX(0, 1 - C474/490))</f>
        <v>0.61082563723780114</v>
      </c>
      <c r="E474" s="1">
        <v>0.64102599999999998</v>
      </c>
      <c r="F474" s="1">
        <v>0.97158900000000004</v>
      </c>
      <c r="G474" s="1">
        <v>0.37837799999999999</v>
      </c>
      <c r="H474" s="1">
        <v>0.35149999999999998</v>
      </c>
      <c r="I474" s="1">
        <v>0.43209999999999998</v>
      </c>
      <c r="K474" s="1">
        <v>0.18839103869653767</v>
      </c>
    </row>
    <row r="475" spans="1:11" ht="15.75" customHeight="1" x14ac:dyDescent="0.3">
      <c r="A475" s="1" t="s">
        <v>856</v>
      </c>
      <c r="B475" s="1" t="s">
        <v>49</v>
      </c>
      <c r="C475" s="1" t="s">
        <v>857</v>
      </c>
      <c r="D475" s="1">
        <f>SQRT((F475^2 + H475^2 + G475^2 + I475^2)/4) * (1 + 1.4* SQRT(MAX(0, K475)/100) * (C475/490) * I475 + MAX(0, 1 - C475/490))</f>
        <v>0.57488705563462639</v>
      </c>
      <c r="E475" s="1">
        <v>0.305344</v>
      </c>
      <c r="F475" s="1">
        <v>0.97270800000000002</v>
      </c>
      <c r="G475" s="1">
        <v>0.25604100000000002</v>
      </c>
      <c r="H475" s="1">
        <v>0.35149999999999998</v>
      </c>
      <c r="I475" s="1">
        <v>0.43209999999999998</v>
      </c>
      <c r="K475" s="1">
        <v>-0.46073074038358514</v>
      </c>
    </row>
    <row r="476" spans="1:11" ht="15.75" customHeight="1" x14ac:dyDescent="0.3">
      <c r="A476" s="1" t="s">
        <v>504</v>
      </c>
      <c r="B476" s="1" t="s">
        <v>49</v>
      </c>
      <c r="C476" s="1" t="s">
        <v>505</v>
      </c>
      <c r="D476" s="1">
        <f>SQRT((F476^2 + H476^2 + G476^2 + I476^2)/4) * (1 + 1.4* SQRT(MAX(0, K476)/100) * (C476/490) * I476 + MAX(0, 1 - C476/490))</f>
        <v>0.75139952473301441</v>
      </c>
      <c r="E476" s="1">
        <v>0</v>
      </c>
      <c r="F476" s="1">
        <v>0.97372599999999998</v>
      </c>
      <c r="G476" s="1">
        <v>1</v>
      </c>
      <c r="H476" s="1">
        <v>0.35149999999999998</v>
      </c>
      <c r="I476" s="1">
        <v>0.43209999999999998</v>
      </c>
      <c r="K476" s="1">
        <v>0</v>
      </c>
    </row>
    <row r="477" spans="1:11" ht="15.75" customHeight="1" x14ac:dyDescent="0.3"/>
    <row r="478" spans="1:11" ht="15.75" customHeight="1" x14ac:dyDescent="0.3"/>
    <row r="479" spans="1:11" ht="15.75" customHeight="1" x14ac:dyDescent="0.3"/>
    <row r="480" spans="1:11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autoFilter ref="A1:Z476" xr:uid="{00000000-0009-0000-0000-000000000000}">
    <sortState xmlns:xlrd2="http://schemas.microsoft.com/office/spreadsheetml/2017/richdata2" ref="A2:K476">
      <sortCondition ref="A1:A476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 은서</cp:lastModifiedBy>
  <dcterms:modified xsi:type="dcterms:W3CDTF">2026-05-23T01:38:24Z</dcterms:modified>
</cp:coreProperties>
</file>