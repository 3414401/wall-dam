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결과" sheetId="1" r:id="rId5"/>
  </sheets>
  <definedNames>
    <definedName hidden="1" localSheetId="0" name="_xlnm._FilterDatabase">'결과'!$A$1:$Z$475</definedName>
  </definedNames>
  <calcPr/>
</workbook>
</file>

<file path=xl/sharedStrings.xml><?xml version="1.0" encoding="utf-8"?>
<sst xmlns="http://schemas.openxmlformats.org/spreadsheetml/2006/main" count="1558" uniqueCount="886">
  <si>
    <t>학교명</t>
  </si>
  <si>
    <t>지역</t>
  </si>
  <si>
    <t>학교 학생 수</t>
  </si>
  <si>
    <t>획일화 지수(H_m)</t>
  </si>
  <si>
    <t>P_special</t>
  </si>
  <si>
    <t>I_SCU</t>
  </si>
  <si>
    <t>H_path</t>
  </si>
  <si>
    <t>H_job</t>
  </si>
  <si>
    <t>H_ppc</t>
  </si>
  <si>
    <t>1위 업종</t>
  </si>
  <si>
    <t>R_net</t>
  </si>
  <si>
    <t>대구경동초등학교</t>
  </si>
  <si>
    <t>수성구</t>
  </si>
  <si>
    <t>1871</t>
  </si>
  <si>
    <t>기타 개인 서비스업 복합코드</t>
  </si>
  <si>
    <t>대구서촌초등학교</t>
  </si>
  <si>
    <t>동구</t>
  </si>
  <si>
    <t>22</t>
  </si>
  <si>
    <t>대구대청초등학교</t>
  </si>
  <si>
    <t>1488</t>
  </si>
  <si>
    <t>대구경진초등학교</t>
  </si>
  <si>
    <t>북구</t>
  </si>
  <si>
    <t>76</t>
  </si>
  <si>
    <t>대구반송초등학교</t>
  </si>
  <si>
    <t>달성군</t>
  </si>
  <si>
    <t>46</t>
  </si>
  <si>
    <t>대구공산초등학교</t>
  </si>
  <si>
    <t>81</t>
  </si>
  <si>
    <t>대구해안초등학교</t>
  </si>
  <si>
    <t>대구동곡초등학교</t>
  </si>
  <si>
    <t>52</t>
  </si>
  <si>
    <t>대구범어초등학교</t>
  </si>
  <si>
    <t>1028</t>
  </si>
  <si>
    <t>대구효동초등학교</t>
  </si>
  <si>
    <t>84</t>
  </si>
  <si>
    <t>대구비봉초등학교</t>
  </si>
  <si>
    <t>서구</t>
  </si>
  <si>
    <t>69</t>
  </si>
  <si>
    <t>대구하빈초등학교</t>
  </si>
  <si>
    <t>93</t>
  </si>
  <si>
    <t>대구대산초등학교</t>
  </si>
  <si>
    <t>106</t>
  </si>
  <si>
    <t>대구효신초등학교</t>
  </si>
  <si>
    <t>210</t>
  </si>
  <si>
    <t>대구남명초등학교</t>
  </si>
  <si>
    <t>남구</t>
  </si>
  <si>
    <t>137</t>
  </si>
  <si>
    <t>보건업 복합코드</t>
  </si>
  <si>
    <t>대구월곡초등학교</t>
  </si>
  <si>
    <t>달서구</t>
  </si>
  <si>
    <t>대구광명학교</t>
  </si>
  <si>
    <t>41</t>
  </si>
  <si>
    <t>대구영화학교</t>
  </si>
  <si>
    <t>44</t>
  </si>
  <si>
    <t>대구금계초등학교</t>
  </si>
  <si>
    <t>126</t>
  </si>
  <si>
    <t>대구이현초등학교</t>
  </si>
  <si>
    <t>224</t>
  </si>
  <si>
    <t>대구동문초등학교</t>
  </si>
  <si>
    <t>141</t>
  </si>
  <si>
    <t>대구서평초등학교</t>
  </si>
  <si>
    <t>127</t>
  </si>
  <si>
    <t>대구금포초등학교</t>
  </si>
  <si>
    <t>129</t>
  </si>
  <si>
    <t>대구가창초등학교</t>
  </si>
  <si>
    <t>대구북비산초등학교</t>
  </si>
  <si>
    <t>121</t>
  </si>
  <si>
    <t>대구신당초등학교</t>
  </si>
  <si>
    <t>138</t>
  </si>
  <si>
    <t>대구명곡초등학교</t>
  </si>
  <si>
    <t>166</t>
  </si>
  <si>
    <t>대구남동초등학교</t>
  </si>
  <si>
    <t>151</t>
  </si>
  <si>
    <t>대구천내초등학교</t>
  </si>
  <si>
    <t>159</t>
  </si>
  <si>
    <t>대구관천초등학교</t>
  </si>
  <si>
    <t>172</t>
  </si>
  <si>
    <t>대구월성초등학교</t>
  </si>
  <si>
    <t>164</t>
  </si>
  <si>
    <t>대구관음초등학교</t>
  </si>
  <si>
    <t>170</t>
  </si>
  <si>
    <t>대구대성초등학교</t>
  </si>
  <si>
    <t>서대구초등학교</t>
  </si>
  <si>
    <t>149</t>
  </si>
  <si>
    <t>대구지봉초등학교</t>
  </si>
  <si>
    <t>182</t>
  </si>
  <si>
    <t>대구군위초등학교송원캠퍼스</t>
  </si>
  <si>
    <t>군위군</t>
  </si>
  <si>
    <t>16</t>
  </si>
  <si>
    <t>대구부계초등학교의흥캠퍼스</t>
  </si>
  <si>
    <t>부계중학교</t>
  </si>
  <si>
    <t>대구부계초등학교고매캠퍼스</t>
  </si>
  <si>
    <t>19</t>
  </si>
  <si>
    <t>부계중학교효령캠퍼스</t>
  </si>
  <si>
    <t>달서중학교</t>
  </si>
  <si>
    <t>36</t>
  </si>
  <si>
    <t>대구보건학교</t>
  </si>
  <si>
    <t>대구부계초등학교효령캠퍼스</t>
  </si>
  <si>
    <t>28</t>
  </si>
  <si>
    <t>대구덕희학교</t>
  </si>
  <si>
    <t>109</t>
  </si>
  <si>
    <t>대구교동초등학교</t>
  </si>
  <si>
    <t>남대구초등학교</t>
  </si>
  <si>
    <t>201</t>
  </si>
  <si>
    <t>대구장성초등학교</t>
  </si>
  <si>
    <t>191</t>
  </si>
  <si>
    <t>대구삼육초등학교</t>
  </si>
  <si>
    <t>199</t>
  </si>
  <si>
    <t>대구대덕초등학교</t>
  </si>
  <si>
    <t>212</t>
  </si>
  <si>
    <t>대구종로초등학교</t>
  </si>
  <si>
    <t>중구</t>
  </si>
  <si>
    <t>스포츠 서비스업</t>
  </si>
  <si>
    <t>대구부계초등학교</t>
  </si>
  <si>
    <t>39</t>
  </si>
  <si>
    <t>대구체육중학교</t>
  </si>
  <si>
    <t>56</t>
  </si>
  <si>
    <t>대구내서초등학교</t>
  </si>
  <si>
    <t>177</t>
  </si>
  <si>
    <t>대구논공초등학교</t>
  </si>
  <si>
    <t>194</t>
  </si>
  <si>
    <t>대구태전초등학교</t>
  </si>
  <si>
    <t>207</t>
  </si>
  <si>
    <t>대구남덕초등학교</t>
  </si>
  <si>
    <t>229</t>
  </si>
  <si>
    <t>대구파호초등학교</t>
  </si>
  <si>
    <t>216</t>
  </si>
  <si>
    <t>대구중리초등학교</t>
  </si>
  <si>
    <t>259</t>
  </si>
  <si>
    <t>대구북부초등학교</t>
  </si>
  <si>
    <t>215</t>
  </si>
  <si>
    <t>대구시지초등학교</t>
  </si>
  <si>
    <t>220</t>
  </si>
  <si>
    <t>대구만촌초등학교</t>
  </si>
  <si>
    <t>276</t>
  </si>
  <si>
    <t>대구동인초등학교</t>
  </si>
  <si>
    <t>대구감삼초등학교</t>
  </si>
  <si>
    <t>251</t>
  </si>
  <si>
    <t>대구팔달초등학교</t>
  </si>
  <si>
    <t>대구아양초등학교</t>
  </si>
  <si>
    <t>223</t>
  </si>
  <si>
    <t>대구성명초등학교</t>
  </si>
  <si>
    <t>245</t>
  </si>
  <si>
    <t>대구선명학교</t>
  </si>
  <si>
    <t>대구율하초등학교</t>
  </si>
  <si>
    <t>222</t>
  </si>
  <si>
    <t>대구남송초등학교</t>
  </si>
  <si>
    <t>307</t>
  </si>
  <si>
    <t>대구영선초등학교</t>
  </si>
  <si>
    <t>291</t>
  </si>
  <si>
    <t>대구북동초등학교</t>
  </si>
  <si>
    <t>대구지묘초등학교</t>
  </si>
  <si>
    <t>256</t>
  </si>
  <si>
    <t>대구덕인초등학교</t>
  </si>
  <si>
    <t>335</t>
  </si>
  <si>
    <t>대구두류초등학교</t>
  </si>
  <si>
    <t>237</t>
  </si>
  <si>
    <t>대구장동초등학교</t>
  </si>
  <si>
    <t>1223</t>
  </si>
  <si>
    <t>대구일과학고등학교</t>
  </si>
  <si>
    <t>218</t>
  </si>
  <si>
    <t>대구선원초등학교</t>
  </si>
  <si>
    <t>261</t>
  </si>
  <si>
    <t>대구옥포초등학교</t>
  </si>
  <si>
    <t>252</t>
  </si>
  <si>
    <t>대구보명학교</t>
  </si>
  <si>
    <t>187</t>
  </si>
  <si>
    <t>대구덕성초등학교</t>
  </si>
  <si>
    <t>대구입석초등학교</t>
  </si>
  <si>
    <t>대구성동초등학교</t>
  </si>
  <si>
    <t>1544</t>
  </si>
  <si>
    <t>대구두산초등학교</t>
  </si>
  <si>
    <t>268</t>
  </si>
  <si>
    <t>대구상원초등학교</t>
  </si>
  <si>
    <t>262</t>
  </si>
  <si>
    <t>대구이룸고등학교</t>
  </si>
  <si>
    <t>168</t>
  </si>
  <si>
    <t>대구예아람학교</t>
  </si>
  <si>
    <t>163</t>
  </si>
  <si>
    <t>대구감천초등학교</t>
  </si>
  <si>
    <t>264</t>
  </si>
  <si>
    <t>대구성서초등학교</t>
  </si>
  <si>
    <t>270</t>
  </si>
  <si>
    <t>대구송현초등학교</t>
  </si>
  <si>
    <t>271</t>
  </si>
  <si>
    <t>대구과학고등학교</t>
  </si>
  <si>
    <t>280</t>
  </si>
  <si>
    <t>대구복명초등학교</t>
  </si>
  <si>
    <t>283</t>
  </si>
  <si>
    <t>대구관남초등학교</t>
  </si>
  <si>
    <t>274</t>
  </si>
  <si>
    <t>대구죽전초등학교</t>
  </si>
  <si>
    <t>349</t>
  </si>
  <si>
    <t>대구현풍초등학교</t>
  </si>
  <si>
    <t>달구벌고등학교</t>
  </si>
  <si>
    <t>97</t>
  </si>
  <si>
    <t>대구서도초등학교</t>
  </si>
  <si>
    <t>265</t>
  </si>
  <si>
    <t>대구대천초등학교</t>
  </si>
  <si>
    <t>281</t>
  </si>
  <si>
    <t>대구산격초등학교</t>
  </si>
  <si>
    <t>대구성곡초등학교</t>
  </si>
  <si>
    <t>287</t>
  </si>
  <si>
    <t>대구동덕초등학교</t>
  </si>
  <si>
    <t>326</t>
  </si>
  <si>
    <t>대구진월초등학교</t>
  </si>
  <si>
    <t>대구서부초등학교</t>
  </si>
  <si>
    <t>대구비산초등학교</t>
  </si>
  <si>
    <t>272</t>
  </si>
  <si>
    <t>구남중학교</t>
  </si>
  <si>
    <t>98</t>
  </si>
  <si>
    <t>대구파동초등학교</t>
  </si>
  <si>
    <t>343</t>
  </si>
  <si>
    <t>대구불로초등학교</t>
  </si>
  <si>
    <t>286</t>
  </si>
  <si>
    <t>대구청림초등학교</t>
  </si>
  <si>
    <t>294</t>
  </si>
  <si>
    <t>대구호산초등학교</t>
  </si>
  <si>
    <t>290</t>
  </si>
  <si>
    <t>대구동산초등학교</t>
  </si>
  <si>
    <t>297</t>
  </si>
  <si>
    <t>군위중학교</t>
  </si>
  <si>
    <t>대구매동초등학교</t>
  </si>
  <si>
    <t>303</t>
  </si>
  <si>
    <t>대구화동초등학교</t>
  </si>
  <si>
    <t>대구남양학교</t>
  </si>
  <si>
    <t>217</t>
  </si>
  <si>
    <t>대구명덕초등학교</t>
  </si>
  <si>
    <t>300</t>
  </si>
  <si>
    <t>범일중학교</t>
  </si>
  <si>
    <t>대구동성초등학교</t>
  </si>
  <si>
    <t>906</t>
  </si>
  <si>
    <t>한울안중학교</t>
  </si>
  <si>
    <t>80</t>
  </si>
  <si>
    <t>대구달성초등학교</t>
  </si>
  <si>
    <t>536</t>
  </si>
  <si>
    <t>대구구암초등학교</t>
  </si>
  <si>
    <t>302</t>
  </si>
  <si>
    <t>대구방촌초등학교</t>
  </si>
  <si>
    <t>305</t>
  </si>
  <si>
    <t>대구용전초등학교</t>
  </si>
  <si>
    <t>313</t>
  </si>
  <si>
    <t>대구태현초등학교</t>
  </si>
  <si>
    <t>312</t>
  </si>
  <si>
    <t>대구월암초등학교</t>
  </si>
  <si>
    <t>1277</t>
  </si>
  <si>
    <t>대구도원초등학교</t>
  </si>
  <si>
    <t>315</t>
  </si>
  <si>
    <t>경혜여자중학교</t>
  </si>
  <si>
    <t>148</t>
  </si>
  <si>
    <t>대구세명학교</t>
  </si>
  <si>
    <t>234</t>
  </si>
  <si>
    <t>현풍중학교</t>
  </si>
  <si>
    <t>200</t>
  </si>
  <si>
    <t>대구대남초등학교</t>
  </si>
  <si>
    <t>322</t>
  </si>
  <si>
    <t>대구군위초등학교</t>
  </si>
  <si>
    <t>239</t>
  </si>
  <si>
    <t>대구성보학교</t>
  </si>
  <si>
    <t>238</t>
  </si>
  <si>
    <t>대구성남초등학교</t>
  </si>
  <si>
    <t>328</t>
  </si>
  <si>
    <t>대구이곡초등학교</t>
  </si>
  <si>
    <t>333</t>
  </si>
  <si>
    <t>대구성북초등학교</t>
  </si>
  <si>
    <t>332</t>
  </si>
  <si>
    <t>대구학산초등학교</t>
  </si>
  <si>
    <t>361</t>
  </si>
  <si>
    <t>대구용산초등학교</t>
  </si>
  <si>
    <t>393</t>
  </si>
  <si>
    <t>대구성지초등학교</t>
  </si>
  <si>
    <t>340</t>
  </si>
  <si>
    <t>대구화남초등학교</t>
  </si>
  <si>
    <t>388</t>
  </si>
  <si>
    <t>대구용계초등학교</t>
  </si>
  <si>
    <t>391</t>
  </si>
  <si>
    <t>대구효명초등학교</t>
  </si>
  <si>
    <t>362</t>
  </si>
  <si>
    <t>대구욱수초등학교</t>
  </si>
  <si>
    <t>588</t>
  </si>
  <si>
    <t>가창중학교</t>
  </si>
  <si>
    <t>120</t>
  </si>
  <si>
    <t>대구사월초등학교</t>
  </si>
  <si>
    <t>1169</t>
  </si>
  <si>
    <t>대구매천초등학교</t>
  </si>
  <si>
    <t>351</t>
  </si>
  <si>
    <t>대구동원초등학교</t>
  </si>
  <si>
    <t>406</t>
  </si>
  <si>
    <t>팔달중학교</t>
  </si>
  <si>
    <t>150</t>
  </si>
  <si>
    <t>대구수성초등학교</t>
  </si>
  <si>
    <t>717</t>
  </si>
  <si>
    <t>송현여자중학교</t>
  </si>
  <si>
    <t>상인중학교</t>
  </si>
  <si>
    <t>156</t>
  </si>
  <si>
    <t>군위고등학교</t>
  </si>
  <si>
    <t>248</t>
  </si>
  <si>
    <t>서남중학교</t>
  </si>
  <si>
    <t>136</t>
  </si>
  <si>
    <t>대구지산초등학교</t>
  </si>
  <si>
    <t>211</t>
  </si>
  <si>
    <t>대구동호초등학교</t>
  </si>
  <si>
    <t>360</t>
  </si>
  <si>
    <t>대구동도초등학교</t>
  </si>
  <si>
    <t>1409</t>
  </si>
  <si>
    <t>대구서변초등학교</t>
  </si>
  <si>
    <t>363</t>
  </si>
  <si>
    <t>대구국제고등학교</t>
  </si>
  <si>
    <t>논공중학교</t>
  </si>
  <si>
    <t>154</t>
  </si>
  <si>
    <t>대구국우초등학교</t>
  </si>
  <si>
    <t>367</t>
  </si>
  <si>
    <t>대구성산초등학교</t>
  </si>
  <si>
    <t>366</t>
  </si>
  <si>
    <t>대구범물초등학교</t>
  </si>
  <si>
    <t>135</t>
  </si>
  <si>
    <t>북대구초등학교</t>
  </si>
  <si>
    <t>365</t>
  </si>
  <si>
    <t>대구들안길초등학교</t>
  </si>
  <si>
    <t>452</t>
  </si>
  <si>
    <t>경상중학교부설방송통신중학교</t>
  </si>
  <si>
    <t>310</t>
  </si>
  <si>
    <t>대구대곡초등학교</t>
  </si>
  <si>
    <t>374</t>
  </si>
  <si>
    <t>대평중학교</t>
  </si>
  <si>
    <t>157</t>
  </si>
  <si>
    <t>대구체육고등학교</t>
  </si>
  <si>
    <t>203</t>
  </si>
  <si>
    <t>대구본리초등학교</t>
  </si>
  <si>
    <t>1126</t>
  </si>
  <si>
    <t>대구중학교</t>
  </si>
  <si>
    <t>301</t>
  </si>
  <si>
    <t>대구신서초등학교</t>
  </si>
  <si>
    <t>175</t>
  </si>
  <si>
    <t>대구동부초등학교</t>
  </si>
  <si>
    <t>415</t>
  </si>
  <si>
    <t>대구노전초등학교</t>
  </si>
  <si>
    <t>379</t>
  </si>
  <si>
    <t>대구신월초등학교</t>
  </si>
  <si>
    <t>1143</t>
  </si>
  <si>
    <t>대구동천초등학교</t>
  </si>
  <si>
    <t>1711</t>
  </si>
  <si>
    <t>대구공업고등학교 테크노폴리스 캠퍼스</t>
  </si>
  <si>
    <t>173</t>
  </si>
  <si>
    <t>대구효목초등학교</t>
  </si>
  <si>
    <t>380</t>
  </si>
  <si>
    <t>대구봉덕초등학교</t>
  </si>
  <si>
    <t>700</t>
  </si>
  <si>
    <t>대구청라중학교</t>
  </si>
  <si>
    <t>174</t>
  </si>
  <si>
    <t>입석중학교</t>
  </si>
  <si>
    <t>185</t>
  </si>
  <si>
    <t>수성중학교</t>
  </si>
  <si>
    <t>190</t>
  </si>
  <si>
    <t>대구수창초등학교</t>
  </si>
  <si>
    <t>690</t>
  </si>
  <si>
    <t>대구외국어고등학교</t>
  </si>
  <si>
    <t>경일중학교</t>
  </si>
  <si>
    <t>152</t>
  </si>
  <si>
    <t>이곡중학교</t>
  </si>
  <si>
    <t>경암중학교</t>
  </si>
  <si>
    <t>성곡중학교</t>
  </si>
  <si>
    <t>255</t>
  </si>
  <si>
    <t>대구교육대학교대구부설초등학교</t>
  </si>
  <si>
    <t>398</t>
  </si>
  <si>
    <t>대구팔공초등학교</t>
  </si>
  <si>
    <t>대구달산초등학교</t>
  </si>
  <si>
    <t>873</t>
  </si>
  <si>
    <t>대구소프트웨어마이스터고등학교</t>
  </si>
  <si>
    <t>공산중학교</t>
  </si>
  <si>
    <t>대구용호초등학교</t>
  </si>
  <si>
    <t>420</t>
  </si>
  <si>
    <t>대구대진초등학교</t>
  </si>
  <si>
    <t>대구신성초등학교</t>
  </si>
  <si>
    <t>525</t>
  </si>
  <si>
    <t>대구초등학교</t>
  </si>
  <si>
    <t>399</t>
  </si>
  <si>
    <t>산격중학교</t>
  </si>
  <si>
    <t>240</t>
  </si>
  <si>
    <t>북동중학교</t>
  </si>
  <si>
    <t>209</t>
  </si>
  <si>
    <t>천내중학교</t>
  </si>
  <si>
    <t>243</t>
  </si>
  <si>
    <t>대구문성초등학교</t>
  </si>
  <si>
    <t>409</t>
  </si>
  <si>
    <t>대명중학교</t>
  </si>
  <si>
    <t>279</t>
  </si>
  <si>
    <t>대구남도초등학교</t>
  </si>
  <si>
    <t>455</t>
  </si>
  <si>
    <t>대구와룡초등학교</t>
  </si>
  <si>
    <t>대구테크노초등학교</t>
  </si>
  <si>
    <t>신아중학교</t>
  </si>
  <si>
    <t>대구평리초등학교</t>
  </si>
  <si>
    <t>1065</t>
  </si>
  <si>
    <t>대구삼덕초등학교</t>
  </si>
  <si>
    <t>400</t>
  </si>
  <si>
    <t>불로중학교</t>
  </si>
  <si>
    <t>258</t>
  </si>
  <si>
    <t>대구경운초등학교</t>
  </si>
  <si>
    <t>405</t>
  </si>
  <si>
    <t>대구북중학교</t>
  </si>
  <si>
    <t>250</t>
  </si>
  <si>
    <t>대구스마트고등학교</t>
  </si>
  <si>
    <t>348</t>
  </si>
  <si>
    <t>대구신흥초등학교</t>
  </si>
  <si>
    <t>대구월배초등학교</t>
  </si>
  <si>
    <t>560</t>
  </si>
  <si>
    <t>관음중학교</t>
  </si>
  <si>
    <t>284</t>
  </si>
  <si>
    <t>대구도림초등학교</t>
  </si>
  <si>
    <t>대구함지초등학교</t>
  </si>
  <si>
    <t>334</t>
  </si>
  <si>
    <t>대구진천초등학교</t>
  </si>
  <si>
    <t>426</t>
  </si>
  <si>
    <t>화원중학교</t>
  </si>
  <si>
    <t>278</t>
  </si>
  <si>
    <t>서변중학교</t>
  </si>
  <si>
    <t>288</t>
  </si>
  <si>
    <t>대구반야월초등학교</t>
  </si>
  <si>
    <t>833</t>
  </si>
  <si>
    <t>대구고산초등학교</t>
  </si>
  <si>
    <t>708</t>
  </si>
  <si>
    <t>대구화원초등학교</t>
  </si>
  <si>
    <t>428</t>
  </si>
  <si>
    <t>동촌중학교</t>
  </si>
  <si>
    <t>257</t>
  </si>
  <si>
    <t>대구월서초등학교</t>
  </si>
  <si>
    <t>948</t>
  </si>
  <si>
    <t>대구해서초등학교</t>
  </si>
  <si>
    <t>433</t>
  </si>
  <si>
    <t>대구일마이스터고등학교</t>
  </si>
  <si>
    <t>대구내당초등학교</t>
  </si>
  <si>
    <t>445</t>
  </si>
  <si>
    <t>서대구중학교</t>
  </si>
  <si>
    <t>269</t>
  </si>
  <si>
    <t>대구조암초등학교</t>
  </si>
  <si>
    <t>538</t>
  </si>
  <si>
    <t>대구범일초등학교</t>
  </si>
  <si>
    <t>624</t>
  </si>
  <si>
    <t>대구송일초등학교</t>
  </si>
  <si>
    <t>453</t>
  </si>
  <si>
    <t>대구인지초등학교</t>
  </si>
  <si>
    <t>439</t>
  </si>
  <si>
    <t>대구월촌초등학교</t>
  </si>
  <si>
    <t>대구황금초등학교</t>
  </si>
  <si>
    <t>760</t>
  </si>
  <si>
    <t>대구강북초등학교</t>
  </si>
  <si>
    <t>692</t>
  </si>
  <si>
    <t>대구상인초등학교</t>
  </si>
  <si>
    <t>대구대서초등학교</t>
  </si>
  <si>
    <t>457</t>
  </si>
  <si>
    <t>경상중학교</t>
  </si>
  <si>
    <t>352</t>
  </si>
  <si>
    <t>동변중학교</t>
  </si>
  <si>
    <t>319</t>
  </si>
  <si>
    <t>경상여자고등학교</t>
  </si>
  <si>
    <t>612</t>
  </si>
  <si>
    <t>대구동촌초등학교</t>
  </si>
  <si>
    <t>462</t>
  </si>
  <si>
    <t>대구태암초등학교</t>
  </si>
  <si>
    <t>463</t>
  </si>
  <si>
    <t>대구매곡초등학교</t>
  </si>
  <si>
    <t>대구중앙중학교</t>
  </si>
  <si>
    <t>353</t>
  </si>
  <si>
    <t>계성중학교</t>
  </si>
  <si>
    <t>491</t>
  </si>
  <si>
    <t>대구남부초등학교</t>
  </si>
  <si>
    <t>293</t>
  </si>
  <si>
    <t>대구왕선초등학교</t>
  </si>
  <si>
    <t>638</t>
  </si>
  <si>
    <t>대구동평초등학교</t>
  </si>
  <si>
    <t>789</t>
  </si>
  <si>
    <t>경구중학교</t>
  </si>
  <si>
    <t>320</t>
  </si>
  <si>
    <t>대구대명초등학교</t>
  </si>
  <si>
    <t>488</t>
  </si>
  <si>
    <t>포산고등학교</t>
  </si>
  <si>
    <t>470</t>
  </si>
  <si>
    <t>대구칠곡초등학교</t>
  </si>
  <si>
    <t>477</t>
  </si>
  <si>
    <t>대구장기초등학교</t>
  </si>
  <si>
    <t>480</t>
  </si>
  <si>
    <t>대구농업마이스터고등학교</t>
  </si>
  <si>
    <t>317</t>
  </si>
  <si>
    <t>새본리중학교</t>
  </si>
  <si>
    <t>370</t>
  </si>
  <si>
    <t>대구중앙초등학교</t>
  </si>
  <si>
    <t>832</t>
  </si>
  <si>
    <t>대구용지초등학교</t>
  </si>
  <si>
    <t>720</t>
  </si>
  <si>
    <t>대구신매초등학교</t>
  </si>
  <si>
    <t>508</t>
  </si>
  <si>
    <t>대구노변초등학교</t>
  </si>
  <si>
    <t>665</t>
  </si>
  <si>
    <t>대구매호초등학교</t>
  </si>
  <si>
    <t>502</t>
  </si>
  <si>
    <t>대구제일중학교</t>
  </si>
  <si>
    <t>298</t>
  </si>
  <si>
    <t>대원고등학교</t>
  </si>
  <si>
    <t>675</t>
  </si>
  <si>
    <t>대구동일초등학교</t>
  </si>
  <si>
    <t>507</t>
  </si>
  <si>
    <t>지산중학교</t>
  </si>
  <si>
    <t>359</t>
  </si>
  <si>
    <t>효성초등학교</t>
  </si>
  <si>
    <t>513</t>
  </si>
  <si>
    <t>대구용천초등학교</t>
  </si>
  <si>
    <t>1722</t>
  </si>
  <si>
    <t>대구유천초등학교</t>
  </si>
  <si>
    <t>728</t>
  </si>
  <si>
    <t>대구한샘초등학교</t>
  </si>
  <si>
    <t>1135</t>
  </si>
  <si>
    <t>대구칠성초등학교</t>
  </si>
  <si>
    <t>1306</t>
  </si>
  <si>
    <t>대구한솔초등학교</t>
  </si>
  <si>
    <t>858</t>
  </si>
  <si>
    <t>대구복현초등학교</t>
  </si>
  <si>
    <t>973</t>
  </si>
  <si>
    <t>대구학정초등학교</t>
  </si>
  <si>
    <t>대구연경초등학교</t>
  </si>
  <si>
    <t>727</t>
  </si>
  <si>
    <t>대구한실초등학교</t>
  </si>
  <si>
    <t>669</t>
  </si>
  <si>
    <t>대구사수초등학교</t>
  </si>
  <si>
    <t>928</t>
  </si>
  <si>
    <t>대구성당초등학교</t>
  </si>
  <si>
    <t>803</t>
  </si>
  <si>
    <t>대구동변초등학교</t>
  </si>
  <si>
    <t>571</t>
  </si>
  <si>
    <t>대구도남초등학교</t>
  </si>
  <si>
    <t>570</t>
  </si>
  <si>
    <t>대구침산초등학교</t>
  </si>
  <si>
    <t>1165</t>
  </si>
  <si>
    <t>대구관문초등학교</t>
  </si>
  <si>
    <t>919</t>
  </si>
  <si>
    <t>영신초등학교</t>
  </si>
  <si>
    <t>712</t>
  </si>
  <si>
    <t>대구삼영초등학교</t>
  </si>
  <si>
    <t>596</t>
  </si>
  <si>
    <t>대구학남초등학교</t>
  </si>
  <si>
    <t>594</t>
  </si>
  <si>
    <t>대구장산초등학교</t>
  </si>
  <si>
    <t>대구운암초등학교</t>
  </si>
  <si>
    <t>칠곡중학교</t>
  </si>
  <si>
    <t>341</t>
  </si>
  <si>
    <t>대구강동초등학교</t>
  </si>
  <si>
    <t>900</t>
  </si>
  <si>
    <t>대구숙천초등학교</t>
  </si>
  <si>
    <t>606</t>
  </si>
  <si>
    <t>대구봉무초등학교</t>
  </si>
  <si>
    <t>대구동신초등학교</t>
  </si>
  <si>
    <t>729</t>
  </si>
  <si>
    <t>대구옥산초등학교</t>
  </si>
  <si>
    <t>697</t>
  </si>
  <si>
    <t>대구신암초등학교</t>
  </si>
  <si>
    <t>628</t>
  </si>
  <si>
    <t>대구신천초등학교</t>
  </si>
  <si>
    <t>835</t>
  </si>
  <si>
    <t>대구안일초등학교</t>
  </si>
  <si>
    <t>대구새론초등학교</t>
  </si>
  <si>
    <t>1083</t>
  </si>
  <si>
    <t>대구율원초등학교</t>
  </si>
  <si>
    <t>788</t>
  </si>
  <si>
    <t>대구세천초등학교</t>
  </si>
  <si>
    <t>1438</t>
  </si>
  <si>
    <t>대구대실초등학교</t>
  </si>
  <si>
    <t>1195</t>
  </si>
  <si>
    <t>구암고등학교</t>
  </si>
  <si>
    <t>736</t>
  </si>
  <si>
    <t>경일여자고등학교</t>
  </si>
  <si>
    <t>대구서동초등학교</t>
  </si>
  <si>
    <t>1177</t>
  </si>
  <si>
    <t>대구포산초등학교</t>
  </si>
  <si>
    <t>977</t>
  </si>
  <si>
    <t>대구비슬초등학교</t>
  </si>
  <si>
    <t>1118</t>
  </si>
  <si>
    <t>대구서재초등학교</t>
  </si>
  <si>
    <t>621</t>
  </si>
  <si>
    <t>대구세현초등학교</t>
  </si>
  <si>
    <t>1187</t>
  </si>
  <si>
    <t>대구강림초등학교</t>
  </si>
  <si>
    <t>897</t>
  </si>
  <si>
    <t>동대구초등학교</t>
  </si>
  <si>
    <t>725</t>
  </si>
  <si>
    <t>대구유가초등학교</t>
  </si>
  <si>
    <t>1666</t>
  </si>
  <si>
    <t>대구다사초등학교</t>
  </si>
  <si>
    <t>971</t>
  </si>
  <si>
    <t>대구죽곡초등학교</t>
  </si>
  <si>
    <t>662</t>
  </si>
  <si>
    <t>대구구지초등학교</t>
  </si>
  <si>
    <t>512</t>
  </si>
  <si>
    <t>상서중학교</t>
  </si>
  <si>
    <t>칠성고등학교</t>
  </si>
  <si>
    <t>384</t>
  </si>
  <si>
    <t>덕화중학교</t>
  </si>
  <si>
    <t>345</t>
  </si>
  <si>
    <t>대구달서초등학교</t>
  </si>
  <si>
    <t>686</t>
  </si>
  <si>
    <t>경북대학교사범대학부설초등학교</t>
  </si>
  <si>
    <t>510</t>
  </si>
  <si>
    <t>계성초등학교</t>
  </si>
  <si>
    <t>743</t>
  </si>
  <si>
    <t>대구대봉초등학교</t>
  </si>
  <si>
    <t>469</t>
  </si>
  <si>
    <t>대구남산초등학교</t>
  </si>
  <si>
    <t>1332</t>
  </si>
  <si>
    <t>달서고등학교</t>
  </si>
  <si>
    <t>411</t>
  </si>
  <si>
    <t>대서중학교</t>
  </si>
  <si>
    <t>369</t>
  </si>
  <si>
    <t>노변중학교</t>
  </si>
  <si>
    <t>394</t>
  </si>
  <si>
    <t>월배중학교</t>
  </si>
  <si>
    <t>357</t>
  </si>
  <si>
    <t>심인고등학교</t>
  </si>
  <si>
    <t>604</t>
  </si>
  <si>
    <t>협성고등학교</t>
  </si>
  <si>
    <t>494</t>
  </si>
  <si>
    <t>복현중학교</t>
  </si>
  <si>
    <t>396</t>
  </si>
  <si>
    <t>성광고등학교</t>
  </si>
  <si>
    <t>540</t>
  </si>
  <si>
    <t>관천중학교</t>
  </si>
  <si>
    <t>395</t>
  </si>
  <si>
    <t>경운중학교</t>
  </si>
  <si>
    <t>407</t>
  </si>
  <si>
    <t>대명고등학교</t>
  </si>
  <si>
    <t>대구동부고등학교</t>
  </si>
  <si>
    <t>817</t>
  </si>
  <si>
    <t>덕원고등학교</t>
  </si>
  <si>
    <t>1019</t>
  </si>
  <si>
    <t>정동고등학교</t>
  </si>
  <si>
    <t>605</t>
  </si>
  <si>
    <t>시지고등학교</t>
  </si>
  <si>
    <t>1039</t>
  </si>
  <si>
    <t>협성경복중학교</t>
  </si>
  <si>
    <t>대구팔공중학교</t>
  </si>
  <si>
    <t>운암중학교</t>
  </si>
  <si>
    <t>대구송정초등학교</t>
  </si>
  <si>
    <t>799</t>
  </si>
  <si>
    <t>대구고등학교부설방송통신고등학교</t>
  </si>
  <si>
    <t>558</t>
  </si>
  <si>
    <t>경일여자중학교</t>
  </si>
  <si>
    <t>553</t>
  </si>
  <si>
    <t>경상고등학교</t>
  </si>
  <si>
    <t>637</t>
  </si>
  <si>
    <t>오성고등학교</t>
  </si>
  <si>
    <t>성산중학교</t>
  </si>
  <si>
    <t>419</t>
  </si>
  <si>
    <t>경덕여자고등학교</t>
  </si>
  <si>
    <t>424</t>
  </si>
  <si>
    <t>대구남산고등학교</t>
  </si>
  <si>
    <t>795</t>
  </si>
  <si>
    <t>대륜중학교</t>
  </si>
  <si>
    <t>843</t>
  </si>
  <si>
    <t>대구제일고등학교</t>
  </si>
  <si>
    <t>668</t>
  </si>
  <si>
    <t>성지중학교</t>
  </si>
  <si>
    <t>683</t>
  </si>
  <si>
    <t>강동고등학교</t>
  </si>
  <si>
    <t>808</t>
  </si>
  <si>
    <t>대구반도체마이스터고등학교</t>
  </si>
  <si>
    <t>620</t>
  </si>
  <si>
    <t>경북고등학교</t>
  </si>
  <si>
    <t>849</t>
  </si>
  <si>
    <t>영신고등학교</t>
  </si>
  <si>
    <t>747</t>
  </si>
  <si>
    <t>유가중학교</t>
  </si>
  <si>
    <t>874</t>
  </si>
  <si>
    <t>대륜고등학교</t>
  </si>
  <si>
    <t>946</t>
  </si>
  <si>
    <t>능인고등학교</t>
  </si>
  <si>
    <t>대구고등학교</t>
  </si>
  <si>
    <t>경원고등학교</t>
  </si>
  <si>
    <t>와룡중학교</t>
  </si>
  <si>
    <t>431</t>
  </si>
  <si>
    <t>경신중학교</t>
  </si>
  <si>
    <t>931</t>
  </si>
  <si>
    <t>용산중학교</t>
  </si>
  <si>
    <t>443</t>
  </si>
  <si>
    <t>성화여자고등학교</t>
  </si>
  <si>
    <t>정화여자고등학교</t>
  </si>
  <si>
    <t>710</t>
  </si>
  <si>
    <t>매호중학교</t>
  </si>
  <si>
    <t>451</t>
  </si>
  <si>
    <t>포산중학교</t>
  </si>
  <si>
    <t>790</t>
  </si>
  <si>
    <t>대구혜화여자고등학교</t>
  </si>
  <si>
    <t>731</t>
  </si>
  <si>
    <t>성서고등학교</t>
  </si>
  <si>
    <t>607</t>
  </si>
  <si>
    <t>함지고등학교</t>
  </si>
  <si>
    <t>달성고등학교</t>
  </si>
  <si>
    <t>798</t>
  </si>
  <si>
    <t>오성중학교</t>
  </si>
  <si>
    <t>강북고등학교</t>
  </si>
  <si>
    <t>동문고등학교</t>
  </si>
  <si>
    <t>774</t>
  </si>
  <si>
    <t>대진고등학교</t>
  </si>
  <si>
    <t>661</t>
  </si>
  <si>
    <t>정화중학교</t>
  </si>
  <si>
    <t>1042</t>
  </si>
  <si>
    <t>다사중학교</t>
  </si>
  <si>
    <t>715</t>
  </si>
  <si>
    <t>송현여자고등학교</t>
  </si>
  <si>
    <t>동원중학교</t>
  </si>
  <si>
    <t>437</t>
  </si>
  <si>
    <t>대구여자고등학교</t>
  </si>
  <si>
    <t>801</t>
  </si>
  <si>
    <t>영진고등학교</t>
  </si>
  <si>
    <t>526</t>
  </si>
  <si>
    <t>경북예술고등학교</t>
  </si>
  <si>
    <t>1194</t>
  </si>
  <si>
    <t>수성고등학교</t>
  </si>
  <si>
    <t>601</t>
  </si>
  <si>
    <t>영남고등학교</t>
  </si>
  <si>
    <t>성화중학교</t>
  </si>
  <si>
    <t>660</t>
  </si>
  <si>
    <t>도원고등학교</t>
  </si>
  <si>
    <t>경신고등학교</t>
  </si>
  <si>
    <t>성광중학교</t>
  </si>
  <si>
    <t>735</t>
  </si>
  <si>
    <t>경명여자고등학교</t>
  </si>
  <si>
    <t>581</t>
  </si>
  <si>
    <t>운암고등학교</t>
  </si>
  <si>
    <t>689</t>
  </si>
  <si>
    <t>청구고등학교</t>
  </si>
  <si>
    <t>평리중학교</t>
  </si>
  <si>
    <t>능인중학교</t>
  </si>
  <si>
    <t>성서중학교</t>
  </si>
  <si>
    <t>706</t>
  </si>
  <si>
    <t>대곡고등학교</t>
  </si>
  <si>
    <t>739</t>
  </si>
  <si>
    <t>성명여자중학교</t>
  </si>
  <si>
    <t>471</t>
  </si>
  <si>
    <t>대구일중학교</t>
  </si>
  <si>
    <t>909</t>
  </si>
  <si>
    <t>덕원중학교</t>
  </si>
  <si>
    <t>613</t>
  </si>
  <si>
    <t>학남고등학교</t>
  </si>
  <si>
    <t>805</t>
  </si>
  <si>
    <t>성산고등학교</t>
  </si>
  <si>
    <t>541</t>
  </si>
  <si>
    <t>대구서부고등학교</t>
  </si>
  <si>
    <t>591</t>
  </si>
  <si>
    <t>동도중학교</t>
  </si>
  <si>
    <t>1007</t>
  </si>
  <si>
    <t>영송여자고등학교</t>
  </si>
  <si>
    <t>523</t>
  </si>
  <si>
    <t>서재중학교</t>
  </si>
  <si>
    <t>안심중학교</t>
  </si>
  <si>
    <t>매천고등학교</t>
  </si>
  <si>
    <t>심인중학교</t>
  </si>
  <si>
    <t>497</t>
  </si>
  <si>
    <t>영신중학교</t>
  </si>
  <si>
    <t>631</t>
  </si>
  <si>
    <t>경서중학교</t>
  </si>
  <si>
    <t>460</t>
  </si>
  <si>
    <t>고산중학교</t>
  </si>
  <si>
    <t>645</t>
  </si>
  <si>
    <t>경화여자고등학교</t>
  </si>
  <si>
    <t>490</t>
  </si>
  <si>
    <t>비슬고등학교</t>
  </si>
  <si>
    <t>1067</t>
  </si>
  <si>
    <t>원화여자고등학교</t>
  </si>
  <si>
    <t>756</t>
  </si>
  <si>
    <t>대구중앙고등학교</t>
  </si>
  <si>
    <t>642</t>
  </si>
  <si>
    <t>침산중학교</t>
  </si>
  <si>
    <t>753</t>
  </si>
  <si>
    <t>영남중학교</t>
  </si>
  <si>
    <t>경명여자중학교</t>
  </si>
  <si>
    <t>573</t>
  </si>
  <si>
    <t>소선여자중학교</t>
  </si>
  <si>
    <t>915</t>
  </si>
  <si>
    <t>효성여자고등학교</t>
  </si>
  <si>
    <t>범물중학교</t>
  </si>
  <si>
    <t>상인고등학교</t>
  </si>
  <si>
    <t>609</t>
  </si>
  <si>
    <t>다사고등학교</t>
  </si>
  <si>
    <t>483</t>
  </si>
  <si>
    <t>신기중학교</t>
  </si>
  <si>
    <t>442</t>
  </si>
  <si>
    <t>왕선중학교</t>
  </si>
  <si>
    <t>894</t>
  </si>
  <si>
    <t>화원고등학교</t>
  </si>
  <si>
    <t>대진중학교</t>
  </si>
  <si>
    <t>793</t>
  </si>
  <si>
    <t>대구상원고등학교</t>
  </si>
  <si>
    <t>861</t>
  </si>
  <si>
    <t>원화중학교</t>
  </si>
  <si>
    <t>499</t>
  </si>
  <si>
    <t>강북중학교</t>
  </si>
  <si>
    <t>950</t>
  </si>
  <si>
    <t>조일고등학교</t>
  </si>
  <si>
    <t>449</t>
  </si>
  <si>
    <t>호산고등학교</t>
  </si>
  <si>
    <t>579</t>
  </si>
  <si>
    <t>청구중학교</t>
  </si>
  <si>
    <t>547</t>
  </si>
  <si>
    <t>황금중학교</t>
  </si>
  <si>
    <t>765</t>
  </si>
  <si>
    <t>현풍고등학교</t>
  </si>
  <si>
    <t>473</t>
  </si>
  <si>
    <t>계성고등학교</t>
  </si>
  <si>
    <t>823</t>
  </si>
  <si>
    <t>조암중학교</t>
  </si>
  <si>
    <t>1105</t>
  </si>
  <si>
    <t>월암중학교</t>
  </si>
  <si>
    <t>월서중학교</t>
  </si>
  <si>
    <t>1101</t>
  </si>
  <si>
    <t>달성중학교</t>
  </si>
  <si>
    <t>성당중학교</t>
  </si>
  <si>
    <t>시지중학교</t>
  </si>
  <si>
    <t>775</t>
  </si>
  <si>
    <t>구암중학교</t>
  </si>
  <si>
    <t>567</t>
  </si>
  <si>
    <t>새론중학교</t>
  </si>
  <si>
    <t>830</t>
  </si>
  <si>
    <t>대건고등학교</t>
  </si>
  <si>
    <t>상원중학교</t>
  </si>
  <si>
    <t>751</t>
  </si>
  <si>
    <t>신명고등학교</t>
  </si>
  <si>
    <t>550</t>
  </si>
  <si>
    <t>학남중학교</t>
  </si>
  <si>
    <t>768</t>
  </si>
  <si>
    <t>경북기계공업고등학교</t>
  </si>
  <si>
    <t>711</t>
  </si>
  <si>
    <t>동평중학교</t>
  </si>
  <si>
    <t>856</t>
  </si>
  <si>
    <t>대구동중학교</t>
  </si>
  <si>
    <t>1109</t>
  </si>
  <si>
    <t>와룡고등학교</t>
  </si>
  <si>
    <t>대곡중학교</t>
  </si>
  <si>
    <t>524</t>
  </si>
  <si>
    <t>대구동부중학교</t>
  </si>
  <si>
    <t>718</t>
  </si>
  <si>
    <t>경상공업고등학교</t>
  </si>
  <si>
    <t>경북여자상업고등학교</t>
  </si>
  <si>
    <t>495</t>
  </si>
  <si>
    <t>매천중학교</t>
  </si>
  <si>
    <t>대구하이텍고등학교</t>
  </si>
  <si>
    <t>신명여자중학교</t>
  </si>
  <si>
    <t>783</t>
  </si>
  <si>
    <t>경북대학교사범대학부설고등학교</t>
  </si>
  <si>
    <t>769</t>
  </si>
  <si>
    <t>사수중학교</t>
  </si>
  <si>
    <t>481</t>
  </si>
  <si>
    <t>중리중학교</t>
  </si>
  <si>
    <t>539</t>
  </si>
  <si>
    <t>도원중학교</t>
  </si>
  <si>
    <t>610</t>
  </si>
  <si>
    <t>경북여자고등학교</t>
  </si>
  <si>
    <t>대건중학교</t>
  </si>
  <si>
    <t>635</t>
  </si>
  <si>
    <t>효성중학교</t>
  </si>
  <si>
    <t>655</t>
  </si>
  <si>
    <t>대구보건고등학교</t>
  </si>
  <si>
    <t>757</t>
  </si>
  <si>
    <t>구지중학교</t>
  </si>
  <si>
    <t>602</t>
  </si>
  <si>
    <t>학산중학교</t>
  </si>
  <si>
    <t>강동중학교</t>
  </si>
  <si>
    <t>921</t>
  </si>
  <si>
    <t>영남공업고등학교</t>
  </si>
  <si>
    <t>784</t>
  </si>
  <si>
    <t>율원중학교</t>
  </si>
  <si>
    <t>733</t>
  </si>
  <si>
    <t>대구제일여자상업고등학교</t>
  </si>
  <si>
    <t>537</t>
  </si>
  <si>
    <t>상서고등학교</t>
  </si>
  <si>
    <t>944</t>
  </si>
  <si>
    <t>대구관광고등학교</t>
  </si>
  <si>
    <t>552</t>
  </si>
  <si>
    <t>대구공업고등학교</t>
  </si>
  <si>
    <t>서동중학교</t>
  </si>
  <si>
    <t>716</t>
  </si>
  <si>
    <t>경북대학교사범대학부설중학교</t>
  </si>
  <si>
    <t>528</t>
  </si>
  <si>
    <t>대구율금초등학교</t>
  </si>
  <si>
    <t>615</t>
  </si>
  <si>
    <t>경북공업고등학교</t>
  </si>
  <si>
    <t>709</t>
  </si>
  <si>
    <t>대구과학기술고등학교</t>
  </si>
  <si>
    <t>691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</si>
</sst>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2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1" max="1" width="21.56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1" t="s">
        <v>11</v>
      </c>
      <c r="B2" s="1" t="s">
        <v>12</v>
      </c>
      <c r="C2" s="1" t="s">
        <v>13</v>
      </c>
      <c r="D2" s="1">
        <f t="shared" ref="D2:D9" si="1">SQRT((F2^2 + H2^2 + G2^2 + I2^2)/4) * (1 + 1.4* (SQRT(MAX(0, K2)/100)) * (C2/490) * I2 + MAX(0, 1 - C2/490))</f>
        <v>1.473070285</v>
      </c>
      <c r="E2" s="1">
        <v>0.267237</v>
      </c>
      <c r="F2" s="1">
        <v>0.978781</v>
      </c>
      <c r="G2" s="1">
        <v>1.0</v>
      </c>
      <c r="H2" s="1">
        <v>0.3313</v>
      </c>
      <c r="I2" s="1">
        <v>0.4693</v>
      </c>
      <c r="J2" s="1" t="s">
        <v>14</v>
      </c>
      <c r="K2" s="1">
        <v>14.270443613041154</v>
      </c>
    </row>
    <row r="3">
      <c r="A3" s="1" t="s">
        <v>15</v>
      </c>
      <c r="B3" s="1" t="s">
        <v>16</v>
      </c>
      <c r="C3" s="1" t="s">
        <v>17</v>
      </c>
      <c r="D3" s="1">
        <f t="shared" si="1"/>
        <v>1.442795343</v>
      </c>
      <c r="E3" s="1">
        <v>9.090909</v>
      </c>
      <c r="F3" s="1">
        <v>0.932322</v>
      </c>
      <c r="G3" s="1">
        <v>1.0</v>
      </c>
      <c r="H3" s="1">
        <v>0.3499</v>
      </c>
      <c r="I3" s="1">
        <v>0.4321</v>
      </c>
      <c r="K3" s="1">
        <v>0.0</v>
      </c>
    </row>
    <row r="4">
      <c r="A4" s="1" t="s">
        <v>18</v>
      </c>
      <c r="B4" s="1" t="s">
        <v>12</v>
      </c>
      <c r="C4" s="1" t="s">
        <v>19</v>
      </c>
      <c r="D4" s="1">
        <f t="shared" si="1"/>
        <v>1.4087242</v>
      </c>
      <c r="E4" s="1">
        <v>1.344086</v>
      </c>
      <c r="F4" s="1">
        <v>0.975191</v>
      </c>
      <c r="G4" s="1">
        <v>1.0</v>
      </c>
      <c r="H4" s="1">
        <v>0.3313</v>
      </c>
      <c r="I4" s="1">
        <v>0.4693</v>
      </c>
      <c r="J4" s="1" t="s">
        <v>14</v>
      </c>
      <c r="K4" s="1">
        <v>18.817204301075268</v>
      </c>
    </row>
    <row r="5">
      <c r="A5" s="1" t="s">
        <v>20</v>
      </c>
      <c r="B5" s="1" t="s">
        <v>21</v>
      </c>
      <c r="C5" s="1" t="s">
        <v>22</v>
      </c>
      <c r="D5" s="1">
        <f t="shared" si="1"/>
        <v>1.362683563</v>
      </c>
      <c r="E5" s="1">
        <v>10.526316</v>
      </c>
      <c r="F5" s="1">
        <v>0.93463</v>
      </c>
      <c r="G5" s="1">
        <v>1.0</v>
      </c>
      <c r="H5" s="1">
        <v>0.3493</v>
      </c>
      <c r="I5" s="1">
        <v>0.4321</v>
      </c>
      <c r="K5" s="1">
        <v>0.0</v>
      </c>
    </row>
    <row r="6">
      <c r="A6" s="1" t="s">
        <v>23</v>
      </c>
      <c r="B6" s="1" t="s">
        <v>24</v>
      </c>
      <c r="C6" s="1" t="s">
        <v>25</v>
      </c>
      <c r="D6" s="1">
        <f t="shared" si="1"/>
        <v>1.360746476</v>
      </c>
      <c r="E6" s="1">
        <v>30.434783</v>
      </c>
      <c r="F6" s="1">
        <v>0.854522</v>
      </c>
      <c r="G6" s="1">
        <v>1.0</v>
      </c>
      <c r="H6" s="1">
        <v>0.3487</v>
      </c>
      <c r="I6" s="1">
        <v>0.4321</v>
      </c>
      <c r="K6" s="1">
        <v>-0.21208907741251326</v>
      </c>
    </row>
    <row r="7">
      <c r="A7" s="1" t="s">
        <v>26</v>
      </c>
      <c r="B7" s="1" t="s">
        <v>16</v>
      </c>
      <c r="C7" s="1" t="s">
        <v>27</v>
      </c>
      <c r="D7" s="1">
        <f t="shared" si="1"/>
        <v>1.359592572</v>
      </c>
      <c r="E7" s="1">
        <v>6.17284</v>
      </c>
      <c r="F7" s="1">
        <v>0.942049</v>
      </c>
      <c r="G7" s="1">
        <v>1.0</v>
      </c>
      <c r="H7" s="1">
        <v>0.3499</v>
      </c>
      <c r="I7" s="1">
        <v>0.4321</v>
      </c>
      <c r="K7" s="1">
        <v>-12.345679012345679</v>
      </c>
    </row>
    <row r="8">
      <c r="A8" s="1" t="s">
        <v>28</v>
      </c>
      <c r="B8" s="1" t="s">
        <v>16</v>
      </c>
      <c r="C8" s="1" t="s">
        <v>22</v>
      </c>
      <c r="D8" s="1">
        <f t="shared" si="1"/>
        <v>1.353604343</v>
      </c>
      <c r="E8" s="1">
        <v>13.157895</v>
      </c>
      <c r="F8" s="1">
        <v>0.918766</v>
      </c>
      <c r="G8" s="1">
        <v>1.0</v>
      </c>
      <c r="H8" s="1">
        <v>0.3499</v>
      </c>
      <c r="I8" s="1">
        <v>0.4321</v>
      </c>
      <c r="K8" s="1">
        <v>-28.94736842105263</v>
      </c>
    </row>
    <row r="9" ht="15.75" customHeight="1">
      <c r="A9" s="1" t="s">
        <v>29</v>
      </c>
      <c r="B9" s="1" t="s">
        <v>24</v>
      </c>
      <c r="C9" s="1" t="s">
        <v>30</v>
      </c>
      <c r="D9" s="1">
        <f t="shared" si="1"/>
        <v>1.351373406</v>
      </c>
      <c r="E9" s="1">
        <v>30.769231</v>
      </c>
      <c r="F9" s="1">
        <v>0.853407</v>
      </c>
      <c r="G9" s="1">
        <v>1.0</v>
      </c>
      <c r="H9" s="1">
        <v>0.3487</v>
      </c>
      <c r="I9" s="1">
        <v>0.4321</v>
      </c>
      <c r="K9" s="1">
        <v>-0.44802867383512546</v>
      </c>
    </row>
    <row r="10" ht="15.75" customHeight="1">
      <c r="A10" s="1" t="s">
        <v>31</v>
      </c>
      <c r="B10" s="1" t="s">
        <v>12</v>
      </c>
      <c r="C10" s="1" t="s">
        <v>32</v>
      </c>
      <c r="D10" s="1">
        <f t="shared" ref="D10:D475" si="2">SQRT((F10^2 + H10^2 + G10^2 + I10^2)/4) * (1 + 1.4* SQRT(MAX(0, K10)/100) * (C10/490) * I10 + MAX(0, 1 - C10/490))</f>
        <v>1.350473311</v>
      </c>
      <c r="E10" s="1">
        <v>2.140078</v>
      </c>
      <c r="F10" s="1">
        <v>0.972538</v>
      </c>
      <c r="G10" s="1">
        <v>1.0</v>
      </c>
      <c r="H10" s="1">
        <v>0.3313</v>
      </c>
      <c r="I10" s="1">
        <v>0.4693</v>
      </c>
      <c r="J10" s="1" t="s">
        <v>14</v>
      </c>
      <c r="K10" s="1">
        <v>32.87937743190661</v>
      </c>
    </row>
    <row r="11" ht="15.75" customHeight="1">
      <c r="A11" s="1" t="s">
        <v>33</v>
      </c>
      <c r="B11" s="1" t="s">
        <v>16</v>
      </c>
      <c r="C11" s="1" t="s">
        <v>34</v>
      </c>
      <c r="D11" s="1">
        <f t="shared" si="2"/>
        <v>1.348587276</v>
      </c>
      <c r="E11" s="1">
        <v>9.52381</v>
      </c>
      <c r="F11" s="1">
        <v>0.930879</v>
      </c>
      <c r="G11" s="1">
        <v>1.0</v>
      </c>
      <c r="H11" s="1">
        <v>0.3499</v>
      </c>
      <c r="I11" s="1">
        <v>0.4321</v>
      </c>
      <c r="K11" s="1">
        <v>-9.523809523809524</v>
      </c>
    </row>
    <row r="12" ht="15.75" customHeight="1">
      <c r="A12" s="1" t="s">
        <v>35</v>
      </c>
      <c r="B12" s="1" t="s">
        <v>36</v>
      </c>
      <c r="C12" s="1" t="s">
        <v>37</v>
      </c>
      <c r="D12" s="1">
        <f t="shared" si="2"/>
        <v>1.331996456</v>
      </c>
      <c r="E12" s="1">
        <v>17.391304</v>
      </c>
      <c r="F12" s="1">
        <v>0.85747</v>
      </c>
      <c r="G12" s="1">
        <v>1.0</v>
      </c>
      <c r="H12" s="1">
        <v>0.3622</v>
      </c>
      <c r="I12" s="1">
        <v>0.4321</v>
      </c>
      <c r="K12" s="1">
        <v>-2.813852813852814</v>
      </c>
    </row>
    <row r="13" ht="15.75" customHeight="1">
      <c r="A13" s="1" t="s">
        <v>38</v>
      </c>
      <c r="B13" s="1" t="s">
        <v>24</v>
      </c>
      <c r="C13" s="1" t="s">
        <v>39</v>
      </c>
      <c r="D13" s="1">
        <f t="shared" si="2"/>
        <v>1.324606829</v>
      </c>
      <c r="E13" s="1">
        <v>12.903226</v>
      </c>
      <c r="F13" s="1">
        <v>0.912961</v>
      </c>
      <c r="G13" s="1">
        <v>1.0</v>
      </c>
      <c r="H13" s="1">
        <v>0.3487</v>
      </c>
      <c r="I13" s="1">
        <v>0.4321</v>
      </c>
      <c r="K13" s="1">
        <v>-0.44802867383512546</v>
      </c>
    </row>
    <row r="14" ht="15.75" customHeight="1">
      <c r="A14" s="1" t="s">
        <v>40</v>
      </c>
      <c r="B14" s="1" t="s">
        <v>21</v>
      </c>
      <c r="C14" s="1" t="s">
        <v>41</v>
      </c>
      <c r="D14" s="1">
        <f t="shared" si="2"/>
        <v>1.319518598</v>
      </c>
      <c r="E14" s="1">
        <v>9.433962</v>
      </c>
      <c r="F14" s="1">
        <v>0.938271</v>
      </c>
      <c r="G14" s="1">
        <v>1.0</v>
      </c>
      <c r="H14" s="1">
        <v>0.3493</v>
      </c>
      <c r="I14" s="1">
        <v>0.4321</v>
      </c>
      <c r="K14" s="1">
        <v>-5.660377358490566</v>
      </c>
    </row>
    <row r="15" ht="15.75" customHeight="1">
      <c r="A15" s="1" t="s">
        <v>42</v>
      </c>
      <c r="B15" s="1" t="s">
        <v>16</v>
      </c>
      <c r="C15" s="1" t="s">
        <v>43</v>
      </c>
      <c r="D15" s="1">
        <f t="shared" si="2"/>
        <v>1.315378072</v>
      </c>
      <c r="E15" s="1">
        <v>3.809524</v>
      </c>
      <c r="F15" s="1">
        <v>0.949927</v>
      </c>
      <c r="G15" s="1">
        <v>1.0</v>
      </c>
      <c r="H15" s="1">
        <v>0.3499</v>
      </c>
      <c r="I15" s="1">
        <v>0.4321</v>
      </c>
      <c r="K15" s="1">
        <v>58.095238095238095</v>
      </c>
    </row>
    <row r="16" ht="15.75" customHeight="1">
      <c r="A16" s="1" t="s">
        <v>44</v>
      </c>
      <c r="B16" s="1" t="s">
        <v>45</v>
      </c>
      <c r="C16" s="1" t="s">
        <v>46</v>
      </c>
      <c r="D16" s="1">
        <f t="shared" si="2"/>
        <v>1.311466355</v>
      </c>
      <c r="E16" s="1">
        <v>7.29927</v>
      </c>
      <c r="F16" s="1">
        <v>0.917576</v>
      </c>
      <c r="G16" s="1">
        <v>1.0</v>
      </c>
      <c r="H16" s="1">
        <v>0.3552</v>
      </c>
      <c r="I16" s="1">
        <v>0.5969</v>
      </c>
      <c r="J16" s="1" t="s">
        <v>47</v>
      </c>
      <c r="K16" s="1">
        <v>-11.678832116788321</v>
      </c>
    </row>
    <row r="17" ht="15.75" customHeight="1">
      <c r="A17" s="1" t="s">
        <v>48</v>
      </c>
      <c r="B17" s="1" t="s">
        <v>49</v>
      </c>
      <c r="C17" s="1" t="s">
        <v>41</v>
      </c>
      <c r="D17" s="1">
        <f t="shared" si="2"/>
        <v>1.308107569</v>
      </c>
      <c r="E17" s="1">
        <v>16.981132</v>
      </c>
      <c r="F17" s="1">
        <v>0.917122</v>
      </c>
      <c r="G17" s="1">
        <v>1.0</v>
      </c>
      <c r="H17" s="1">
        <v>0.3515</v>
      </c>
      <c r="I17" s="1">
        <v>0.4321</v>
      </c>
      <c r="K17" s="1">
        <v>-1.0997643362136684</v>
      </c>
    </row>
    <row r="18" ht="15.75" customHeight="1">
      <c r="A18" s="1" t="s">
        <v>50</v>
      </c>
      <c r="B18" s="1" t="s">
        <v>45</v>
      </c>
      <c r="C18" s="1" t="s">
        <v>51</v>
      </c>
      <c r="D18" s="1">
        <f t="shared" si="2"/>
        <v>1.30342355</v>
      </c>
      <c r="E18" s="1">
        <v>0.0</v>
      </c>
      <c r="F18" s="1">
        <v>0.941907</v>
      </c>
      <c r="G18" s="1">
        <v>0.693446</v>
      </c>
      <c r="H18" s="1">
        <v>0.3552</v>
      </c>
      <c r="I18" s="1">
        <v>0.5969</v>
      </c>
      <c r="J18" s="1" t="s">
        <v>47</v>
      </c>
      <c r="K18" s="1">
        <v>0.0</v>
      </c>
    </row>
    <row r="19" ht="15.75" customHeight="1">
      <c r="A19" s="1" t="s">
        <v>52</v>
      </c>
      <c r="B19" s="1" t="s">
        <v>45</v>
      </c>
      <c r="C19" s="1" t="s">
        <v>53</v>
      </c>
      <c r="D19" s="1">
        <f t="shared" si="2"/>
        <v>1.299259258</v>
      </c>
      <c r="E19" s="1">
        <v>0.0</v>
      </c>
      <c r="F19" s="1">
        <v>0.941907</v>
      </c>
      <c r="G19" s="1">
        <v>0.693446</v>
      </c>
      <c r="H19" s="1">
        <v>0.3552</v>
      </c>
      <c r="I19" s="1">
        <v>0.5969</v>
      </c>
      <c r="J19" s="1" t="s">
        <v>47</v>
      </c>
      <c r="K19" s="1">
        <v>0.0</v>
      </c>
    </row>
    <row r="20" ht="15.75" customHeight="1">
      <c r="A20" s="1" t="s">
        <v>54</v>
      </c>
      <c r="B20" s="1" t="s">
        <v>24</v>
      </c>
      <c r="C20" s="1" t="s">
        <v>55</v>
      </c>
      <c r="D20" s="1">
        <f t="shared" si="2"/>
        <v>1.294613379</v>
      </c>
      <c r="E20" s="1">
        <v>2.380952</v>
      </c>
      <c r="F20" s="1">
        <v>0.948035</v>
      </c>
      <c r="G20" s="1">
        <v>1.0</v>
      </c>
      <c r="H20" s="1">
        <v>0.3487</v>
      </c>
      <c r="I20" s="1">
        <v>0.4321</v>
      </c>
      <c r="K20" s="1">
        <v>-4.761904761904762</v>
      </c>
    </row>
    <row r="21" ht="15.75" customHeight="1">
      <c r="A21" s="1" t="s">
        <v>56</v>
      </c>
      <c r="B21" s="1" t="s">
        <v>36</v>
      </c>
      <c r="C21" s="1" t="s">
        <v>57</v>
      </c>
      <c r="D21" s="1">
        <f t="shared" si="2"/>
        <v>1.293334667</v>
      </c>
      <c r="E21" s="1">
        <v>1.785714</v>
      </c>
      <c r="F21" s="1">
        <v>0.909489</v>
      </c>
      <c r="G21" s="1">
        <v>1.0</v>
      </c>
      <c r="H21" s="1">
        <v>0.3622</v>
      </c>
      <c r="I21" s="1">
        <v>0.4321</v>
      </c>
      <c r="K21" s="1">
        <v>65.17857142857143</v>
      </c>
    </row>
    <row r="22" ht="15.75" customHeight="1">
      <c r="A22" s="1" t="s">
        <v>58</v>
      </c>
      <c r="B22" s="1" t="s">
        <v>12</v>
      </c>
      <c r="C22" s="1" t="s">
        <v>59</v>
      </c>
      <c r="D22" s="1">
        <f t="shared" si="2"/>
        <v>1.287651233</v>
      </c>
      <c r="E22" s="1">
        <v>4.255319</v>
      </c>
      <c r="F22" s="1">
        <v>0.965487</v>
      </c>
      <c r="G22" s="1">
        <v>1.0</v>
      </c>
      <c r="H22" s="1">
        <v>0.3313</v>
      </c>
      <c r="I22" s="1">
        <v>0.4693</v>
      </c>
      <c r="J22" s="1" t="s">
        <v>14</v>
      </c>
      <c r="K22" s="1">
        <v>-6.382978723404255</v>
      </c>
    </row>
    <row r="23" ht="15.75" customHeight="1">
      <c r="A23" s="1" t="s">
        <v>60</v>
      </c>
      <c r="B23" s="1" t="s">
        <v>36</v>
      </c>
      <c r="C23" s="1" t="s">
        <v>61</v>
      </c>
      <c r="D23" s="1">
        <f t="shared" si="2"/>
        <v>1.272945181</v>
      </c>
      <c r="E23" s="1">
        <v>12.598425</v>
      </c>
      <c r="F23" s="1">
        <v>0.873447</v>
      </c>
      <c r="G23" s="1">
        <v>1.0</v>
      </c>
      <c r="H23" s="1">
        <v>0.3622</v>
      </c>
      <c r="I23" s="1">
        <v>0.4321</v>
      </c>
      <c r="K23" s="1">
        <v>2.3622047244094486</v>
      </c>
    </row>
    <row r="24" ht="15.75" customHeight="1">
      <c r="A24" s="1" t="s">
        <v>62</v>
      </c>
      <c r="B24" s="1" t="s">
        <v>24</v>
      </c>
      <c r="C24" s="1" t="s">
        <v>63</v>
      </c>
      <c r="D24" s="1">
        <f t="shared" si="2"/>
        <v>1.271749544</v>
      </c>
      <c r="E24" s="1">
        <v>12.403101</v>
      </c>
      <c r="F24" s="1">
        <v>0.914628</v>
      </c>
      <c r="G24" s="1">
        <v>1.0</v>
      </c>
      <c r="H24" s="1">
        <v>0.3487</v>
      </c>
      <c r="I24" s="1">
        <v>0.4321</v>
      </c>
      <c r="K24" s="1">
        <v>-6.976744186046512</v>
      </c>
    </row>
    <row r="25" ht="15.75" customHeight="1">
      <c r="A25" s="1" t="s">
        <v>64</v>
      </c>
      <c r="B25" s="1" t="s">
        <v>24</v>
      </c>
      <c r="C25" s="1" t="s">
        <v>46</v>
      </c>
      <c r="D25" s="1">
        <f t="shared" si="2"/>
        <v>1.271632877</v>
      </c>
      <c r="E25" s="1">
        <v>5.839416</v>
      </c>
      <c r="F25" s="1">
        <v>0.936507</v>
      </c>
      <c r="G25" s="1">
        <v>1.0</v>
      </c>
      <c r="H25" s="1">
        <v>0.3487</v>
      </c>
      <c r="I25" s="1">
        <v>0.4321</v>
      </c>
      <c r="K25" s="1">
        <v>-2.9197080291970803</v>
      </c>
    </row>
    <row r="26" ht="15.75" customHeight="1">
      <c r="A26" s="1" t="s">
        <v>65</v>
      </c>
      <c r="B26" s="1" t="s">
        <v>36</v>
      </c>
      <c r="C26" s="1" t="s">
        <v>66</v>
      </c>
      <c r="D26" s="1">
        <f t="shared" si="2"/>
        <v>1.269154815</v>
      </c>
      <c r="E26" s="1">
        <v>9.917355</v>
      </c>
      <c r="F26" s="1">
        <v>0.882384</v>
      </c>
      <c r="G26" s="1">
        <v>1.0</v>
      </c>
      <c r="H26" s="1">
        <v>0.3622</v>
      </c>
      <c r="I26" s="1">
        <v>0.4321</v>
      </c>
      <c r="K26" s="1">
        <v>-2.813852813852814</v>
      </c>
    </row>
    <row r="27" ht="15.75" customHeight="1">
      <c r="A27" s="1" t="s">
        <v>67</v>
      </c>
      <c r="B27" s="1" t="s">
        <v>49</v>
      </c>
      <c r="C27" s="1" t="s">
        <v>68</v>
      </c>
      <c r="D27" s="1">
        <f t="shared" si="2"/>
        <v>1.259479419</v>
      </c>
      <c r="E27" s="1">
        <v>17.391304</v>
      </c>
      <c r="F27" s="1">
        <v>0.915755</v>
      </c>
      <c r="G27" s="1">
        <v>1.0</v>
      </c>
      <c r="H27" s="1">
        <v>0.3515</v>
      </c>
      <c r="I27" s="1">
        <v>0.4321</v>
      </c>
      <c r="K27" s="1">
        <v>-4.1551246537396125</v>
      </c>
    </row>
    <row r="28" ht="15.75" customHeight="1">
      <c r="A28" s="1" t="s">
        <v>69</v>
      </c>
      <c r="B28" s="1" t="s">
        <v>24</v>
      </c>
      <c r="C28" s="1" t="s">
        <v>70</v>
      </c>
      <c r="D28" s="1">
        <f t="shared" si="2"/>
        <v>1.259083749</v>
      </c>
      <c r="E28" s="1">
        <v>6.024096</v>
      </c>
      <c r="F28" s="1">
        <v>0.935891</v>
      </c>
      <c r="G28" s="1">
        <v>1.0</v>
      </c>
      <c r="H28" s="1">
        <v>0.3487</v>
      </c>
      <c r="I28" s="1">
        <v>0.4321</v>
      </c>
      <c r="K28" s="1">
        <v>4.332129963898917</v>
      </c>
    </row>
    <row r="29" ht="15.75" customHeight="1">
      <c r="A29" s="1" t="s">
        <v>71</v>
      </c>
      <c r="B29" s="1" t="s">
        <v>24</v>
      </c>
      <c r="C29" s="1" t="s">
        <v>72</v>
      </c>
      <c r="D29" s="1">
        <f t="shared" si="2"/>
        <v>1.253853754</v>
      </c>
      <c r="E29" s="1">
        <v>3.97351</v>
      </c>
      <c r="F29" s="1">
        <v>0.942726</v>
      </c>
      <c r="G29" s="1">
        <v>1.0</v>
      </c>
      <c r="H29" s="1">
        <v>0.3487</v>
      </c>
      <c r="I29" s="1">
        <v>0.4321</v>
      </c>
      <c r="K29" s="1">
        <v>-1.9867549668874172</v>
      </c>
    </row>
    <row r="30" ht="15.75" customHeight="1">
      <c r="A30" s="1" t="s">
        <v>73</v>
      </c>
      <c r="B30" s="1" t="s">
        <v>24</v>
      </c>
      <c r="C30" s="1" t="s">
        <v>74</v>
      </c>
      <c r="D30" s="1">
        <f t="shared" si="2"/>
        <v>1.242109307</v>
      </c>
      <c r="E30" s="1">
        <v>3.773585</v>
      </c>
      <c r="F30" s="1">
        <v>0.943393</v>
      </c>
      <c r="G30" s="1">
        <v>1.0</v>
      </c>
      <c r="H30" s="1">
        <v>0.3487</v>
      </c>
      <c r="I30" s="1">
        <v>0.4321</v>
      </c>
      <c r="K30" s="1">
        <v>-1.2578616352201257</v>
      </c>
    </row>
    <row r="31" ht="15.75" customHeight="1">
      <c r="A31" s="1" t="s">
        <v>75</v>
      </c>
      <c r="B31" s="1" t="s">
        <v>21</v>
      </c>
      <c r="C31" s="1" t="s">
        <v>76</v>
      </c>
      <c r="D31" s="1">
        <f t="shared" si="2"/>
        <v>1.23618924</v>
      </c>
      <c r="E31" s="1">
        <v>6.976744</v>
      </c>
      <c r="F31" s="1">
        <v>0.946462</v>
      </c>
      <c r="G31" s="1">
        <v>1.0</v>
      </c>
      <c r="H31" s="1">
        <v>0.3493</v>
      </c>
      <c r="I31" s="1">
        <v>0.4321</v>
      </c>
      <c r="K31" s="1">
        <v>0.5813953488372093</v>
      </c>
    </row>
    <row r="32" ht="15.75" customHeight="1">
      <c r="A32" s="1" t="s">
        <v>77</v>
      </c>
      <c r="B32" s="1" t="s">
        <v>49</v>
      </c>
      <c r="C32" s="1" t="s">
        <v>78</v>
      </c>
      <c r="D32" s="1">
        <f t="shared" si="2"/>
        <v>1.2339372</v>
      </c>
      <c r="E32" s="1">
        <v>9.756098</v>
      </c>
      <c r="F32" s="1">
        <v>0.941205</v>
      </c>
      <c r="G32" s="1">
        <v>1.0</v>
      </c>
      <c r="H32" s="1">
        <v>0.3515</v>
      </c>
      <c r="I32" s="1">
        <v>0.4321</v>
      </c>
      <c r="K32" s="1">
        <v>-0.6097560975609756</v>
      </c>
    </row>
    <row r="33" ht="15.75" customHeight="1">
      <c r="A33" s="1" t="s">
        <v>79</v>
      </c>
      <c r="B33" s="1" t="s">
        <v>21</v>
      </c>
      <c r="C33" s="1" t="s">
        <v>80</v>
      </c>
      <c r="D33" s="1">
        <f t="shared" si="2"/>
        <v>1.231197169</v>
      </c>
      <c r="E33" s="1">
        <v>4.705882</v>
      </c>
      <c r="F33" s="1">
        <v>0.954032</v>
      </c>
      <c r="G33" s="1">
        <v>1.0</v>
      </c>
      <c r="H33" s="1">
        <v>0.3493</v>
      </c>
      <c r="I33" s="1">
        <v>0.4321</v>
      </c>
      <c r="K33" s="1">
        <v>-4.705882352941177</v>
      </c>
    </row>
    <row r="34" ht="15.75" customHeight="1">
      <c r="A34" s="1" t="s">
        <v>81</v>
      </c>
      <c r="B34" s="1" t="s">
        <v>36</v>
      </c>
      <c r="C34" s="1" t="s">
        <v>72</v>
      </c>
      <c r="D34" s="1">
        <f t="shared" si="2"/>
        <v>1.230513826</v>
      </c>
      <c r="E34" s="1">
        <v>6.622517</v>
      </c>
      <c r="F34" s="1">
        <v>0.893366</v>
      </c>
      <c r="G34" s="1">
        <v>1.0</v>
      </c>
      <c r="H34" s="1">
        <v>0.3622</v>
      </c>
      <c r="I34" s="1">
        <v>0.4321</v>
      </c>
      <c r="K34" s="1">
        <v>-1.9867549668874172</v>
      </c>
    </row>
    <row r="35" ht="15.75" customHeight="1">
      <c r="A35" s="1" t="s">
        <v>82</v>
      </c>
      <c r="B35" s="1" t="s">
        <v>36</v>
      </c>
      <c r="C35" s="1" t="s">
        <v>83</v>
      </c>
      <c r="D35" s="1">
        <f t="shared" si="2"/>
        <v>1.228684068</v>
      </c>
      <c r="E35" s="1">
        <v>9.395973</v>
      </c>
      <c r="F35" s="1">
        <v>0.884122</v>
      </c>
      <c r="G35" s="1">
        <v>1.0</v>
      </c>
      <c r="H35" s="1">
        <v>0.3622</v>
      </c>
      <c r="I35" s="1">
        <v>0.4321</v>
      </c>
      <c r="K35" s="1">
        <v>-2.0134228187919465</v>
      </c>
    </row>
    <row r="36" ht="15.75" customHeight="1">
      <c r="A36" s="1" t="s">
        <v>84</v>
      </c>
      <c r="B36" s="1" t="s">
        <v>12</v>
      </c>
      <c r="C36" s="1" t="s">
        <v>85</v>
      </c>
      <c r="D36" s="1">
        <f t="shared" si="2"/>
        <v>1.228318888</v>
      </c>
      <c r="E36" s="1">
        <v>2.197802</v>
      </c>
      <c r="F36" s="1">
        <v>0.972345</v>
      </c>
      <c r="G36" s="1">
        <v>1.0</v>
      </c>
      <c r="H36" s="1">
        <v>0.3313</v>
      </c>
      <c r="I36" s="1">
        <v>0.4693</v>
      </c>
      <c r="J36" s="1" t="s">
        <v>14</v>
      </c>
      <c r="K36" s="1">
        <v>-3.8333333333333335</v>
      </c>
    </row>
    <row r="37" ht="15.75" customHeight="1">
      <c r="A37" s="1" t="s">
        <v>86</v>
      </c>
      <c r="B37" s="1" t="s">
        <v>87</v>
      </c>
      <c r="C37" s="1" t="s">
        <v>88</v>
      </c>
      <c r="D37" s="1">
        <f t="shared" si="2"/>
        <v>1.225702869</v>
      </c>
      <c r="E37" s="1">
        <v>0.0</v>
      </c>
      <c r="F37" s="1">
        <v>0.88137</v>
      </c>
      <c r="G37" s="1">
        <v>0.693446</v>
      </c>
      <c r="H37" s="1">
        <v>0.329</v>
      </c>
      <c r="I37" s="1">
        <v>0.4321</v>
      </c>
      <c r="K37" s="1">
        <v>-18.75</v>
      </c>
    </row>
    <row r="38" ht="15.75" customHeight="1">
      <c r="A38" s="1" t="s">
        <v>89</v>
      </c>
      <c r="B38" s="1" t="s">
        <v>87</v>
      </c>
      <c r="C38" s="1" t="s">
        <v>88</v>
      </c>
      <c r="D38" s="1">
        <f t="shared" si="2"/>
        <v>1.225702869</v>
      </c>
      <c r="E38" s="1">
        <v>0.0</v>
      </c>
      <c r="F38" s="1">
        <v>0.88137</v>
      </c>
      <c r="G38" s="1">
        <v>0.693446</v>
      </c>
      <c r="H38" s="1">
        <v>0.329</v>
      </c>
      <c r="I38" s="1">
        <v>0.4321</v>
      </c>
      <c r="K38" s="1">
        <v>-12.5</v>
      </c>
    </row>
    <row r="39" ht="15.75" customHeight="1">
      <c r="A39" s="1" t="s">
        <v>90</v>
      </c>
      <c r="B39" s="1" t="s">
        <v>87</v>
      </c>
      <c r="C39" s="1" t="s">
        <v>88</v>
      </c>
      <c r="D39" s="1">
        <f t="shared" si="2"/>
        <v>1.225702869</v>
      </c>
      <c r="E39" s="1">
        <v>0.0</v>
      </c>
      <c r="F39" s="1">
        <v>0.88137</v>
      </c>
      <c r="G39" s="1">
        <v>0.693446</v>
      </c>
      <c r="H39" s="1">
        <v>0.329</v>
      </c>
      <c r="I39" s="1">
        <v>0.4321</v>
      </c>
      <c r="K39" s="1">
        <v>0.0</v>
      </c>
    </row>
    <row r="40" ht="15.75" customHeight="1">
      <c r="A40" s="1" t="s">
        <v>91</v>
      </c>
      <c r="B40" s="1" t="s">
        <v>87</v>
      </c>
      <c r="C40" s="1" t="s">
        <v>92</v>
      </c>
      <c r="D40" s="1">
        <f t="shared" si="2"/>
        <v>1.221888441</v>
      </c>
      <c r="E40" s="1">
        <v>0.0</v>
      </c>
      <c r="F40" s="1">
        <v>0.88137</v>
      </c>
      <c r="G40" s="1">
        <v>0.693446</v>
      </c>
      <c r="H40" s="1">
        <v>0.329</v>
      </c>
      <c r="I40" s="1">
        <v>0.4321</v>
      </c>
      <c r="K40" s="1">
        <v>-21.05263157894737</v>
      </c>
    </row>
    <row r="41" ht="15.75" customHeight="1">
      <c r="A41" s="1" t="s">
        <v>93</v>
      </c>
      <c r="B41" s="1" t="s">
        <v>87</v>
      </c>
      <c r="C41" s="1" t="s">
        <v>92</v>
      </c>
      <c r="D41" s="1">
        <f t="shared" si="2"/>
        <v>1.221888441</v>
      </c>
      <c r="E41" s="1">
        <v>0.0</v>
      </c>
      <c r="F41" s="1">
        <v>0.88137</v>
      </c>
      <c r="G41" s="1">
        <v>0.693446</v>
      </c>
      <c r="H41" s="1">
        <v>0.329</v>
      </c>
      <c r="I41" s="1">
        <v>0.4321</v>
      </c>
      <c r="K41" s="1">
        <v>0.0</v>
      </c>
    </row>
    <row r="42" ht="15.75" customHeight="1">
      <c r="A42" s="1" t="s">
        <v>94</v>
      </c>
      <c r="B42" s="1" t="s">
        <v>24</v>
      </c>
      <c r="C42" s="1" t="s">
        <v>95</v>
      </c>
      <c r="D42" s="1">
        <f t="shared" si="2"/>
        <v>1.214411316</v>
      </c>
      <c r="E42" s="1">
        <v>19.444444</v>
      </c>
      <c r="F42" s="1">
        <v>0.891157</v>
      </c>
      <c r="G42" s="1">
        <v>0.697826</v>
      </c>
      <c r="H42" s="1">
        <v>0.3487</v>
      </c>
      <c r="I42" s="1">
        <v>0.4321</v>
      </c>
      <c r="K42" s="1">
        <v>-2.7777777777777777</v>
      </c>
    </row>
    <row r="43" ht="15.75" customHeight="1">
      <c r="A43" s="1" t="s">
        <v>96</v>
      </c>
      <c r="B43" s="1" t="s">
        <v>45</v>
      </c>
      <c r="C43" s="1" t="s">
        <v>41</v>
      </c>
      <c r="D43" s="1">
        <f t="shared" si="2"/>
        <v>1.213197213</v>
      </c>
      <c r="E43" s="1">
        <v>0.0</v>
      </c>
      <c r="F43" s="1">
        <v>0.941907</v>
      </c>
      <c r="G43" s="1">
        <v>0.693446</v>
      </c>
      <c r="H43" s="1">
        <v>0.3552</v>
      </c>
      <c r="I43" s="1">
        <v>0.5969</v>
      </c>
      <c r="J43" s="1" t="s">
        <v>47</v>
      </c>
      <c r="K43" s="1">
        <v>0.0</v>
      </c>
    </row>
    <row r="44" ht="15.75" customHeight="1">
      <c r="A44" s="1" t="s">
        <v>97</v>
      </c>
      <c r="B44" s="1" t="s">
        <v>87</v>
      </c>
      <c r="C44" s="1" t="s">
        <v>98</v>
      </c>
      <c r="D44" s="1">
        <f t="shared" si="2"/>
        <v>1.210445156</v>
      </c>
      <c r="E44" s="1">
        <v>0.0</v>
      </c>
      <c r="F44" s="1">
        <v>0.88137</v>
      </c>
      <c r="G44" s="1">
        <v>0.693446</v>
      </c>
      <c r="H44" s="1">
        <v>0.329</v>
      </c>
      <c r="I44" s="1">
        <v>0.4321</v>
      </c>
      <c r="K44" s="1">
        <v>0.0</v>
      </c>
    </row>
    <row r="45" ht="15.75" customHeight="1">
      <c r="A45" s="1" t="s">
        <v>99</v>
      </c>
      <c r="B45" s="1" t="s">
        <v>45</v>
      </c>
      <c r="C45" s="1" t="s">
        <v>100</v>
      </c>
      <c r="D45" s="1">
        <f t="shared" si="2"/>
        <v>1.20903292</v>
      </c>
      <c r="E45" s="1">
        <v>0.0</v>
      </c>
      <c r="F45" s="1">
        <v>0.941907</v>
      </c>
      <c r="G45" s="1">
        <v>0.693446</v>
      </c>
      <c r="H45" s="1">
        <v>0.3552</v>
      </c>
      <c r="I45" s="1">
        <v>0.5969</v>
      </c>
      <c r="J45" s="1" t="s">
        <v>47</v>
      </c>
      <c r="K45" s="1">
        <v>0.0</v>
      </c>
    </row>
    <row r="46" ht="15.75" customHeight="1">
      <c r="A46" s="1" t="s">
        <v>101</v>
      </c>
      <c r="B46" s="1" t="s">
        <v>21</v>
      </c>
      <c r="C46" s="1" t="s">
        <v>85</v>
      </c>
      <c r="D46" s="1">
        <f t="shared" si="2"/>
        <v>1.207781523</v>
      </c>
      <c r="E46" s="1">
        <v>7.692308</v>
      </c>
      <c r="F46" s="1">
        <v>0.944077</v>
      </c>
      <c r="G46" s="1">
        <v>1.0</v>
      </c>
      <c r="H46" s="1">
        <v>0.3493</v>
      </c>
      <c r="I46" s="1">
        <v>0.4321</v>
      </c>
      <c r="K46" s="1">
        <v>-3.338391502276176</v>
      </c>
    </row>
    <row r="47" ht="15.75" customHeight="1">
      <c r="A47" s="1" t="s">
        <v>102</v>
      </c>
      <c r="B47" s="1" t="s">
        <v>45</v>
      </c>
      <c r="C47" s="1" t="s">
        <v>103</v>
      </c>
      <c r="D47" s="1">
        <f t="shared" si="2"/>
        <v>1.207686044</v>
      </c>
      <c r="E47" s="1">
        <v>9.950249</v>
      </c>
      <c r="F47" s="1">
        <v>0.908739</v>
      </c>
      <c r="G47" s="1">
        <v>1.0</v>
      </c>
      <c r="H47" s="1">
        <v>0.3552</v>
      </c>
      <c r="I47" s="1">
        <v>0.5969</v>
      </c>
      <c r="J47" s="1" t="s">
        <v>47</v>
      </c>
      <c r="K47" s="1">
        <v>-4.975124378109452</v>
      </c>
    </row>
    <row r="48" ht="15.75" customHeight="1">
      <c r="A48" s="1" t="s">
        <v>104</v>
      </c>
      <c r="B48" s="1" t="s">
        <v>49</v>
      </c>
      <c r="C48" s="1" t="s">
        <v>105</v>
      </c>
      <c r="D48" s="1">
        <f t="shared" si="2"/>
        <v>1.206272476</v>
      </c>
      <c r="E48" s="1">
        <v>2.094241</v>
      </c>
      <c r="F48" s="1">
        <v>0.966745</v>
      </c>
      <c r="G48" s="1">
        <v>1.0</v>
      </c>
      <c r="H48" s="1">
        <v>0.3515</v>
      </c>
      <c r="I48" s="1">
        <v>0.4321</v>
      </c>
      <c r="K48" s="1">
        <v>-4.684975767366721</v>
      </c>
    </row>
    <row r="49" ht="15.75" customHeight="1">
      <c r="A49" s="1" t="s">
        <v>106</v>
      </c>
      <c r="B49" s="1" t="s">
        <v>12</v>
      </c>
      <c r="C49" s="1" t="s">
        <v>107</v>
      </c>
      <c r="D49" s="1">
        <f t="shared" si="2"/>
        <v>1.205923333</v>
      </c>
      <c r="E49" s="1">
        <v>0.0</v>
      </c>
      <c r="F49" s="1">
        <v>0.979671</v>
      </c>
      <c r="G49" s="1">
        <v>1.0</v>
      </c>
      <c r="H49" s="1">
        <v>0.3313</v>
      </c>
      <c r="I49" s="1">
        <v>0.4693</v>
      </c>
      <c r="J49" s="1" t="s">
        <v>14</v>
      </c>
      <c r="K49" s="1">
        <v>0.0</v>
      </c>
    </row>
    <row r="50" ht="15.75" customHeight="1">
      <c r="A50" s="1" t="s">
        <v>108</v>
      </c>
      <c r="B50" s="1" t="s">
        <v>45</v>
      </c>
      <c r="C50" s="1" t="s">
        <v>109</v>
      </c>
      <c r="D50" s="1">
        <f t="shared" si="2"/>
        <v>1.200353239</v>
      </c>
      <c r="E50" s="1">
        <v>3.773585</v>
      </c>
      <c r="F50" s="1">
        <v>0.929328</v>
      </c>
      <c r="G50" s="1">
        <v>1.0</v>
      </c>
      <c r="H50" s="1">
        <v>0.3552</v>
      </c>
      <c r="I50" s="1">
        <v>0.5969</v>
      </c>
      <c r="J50" s="1" t="s">
        <v>47</v>
      </c>
      <c r="K50" s="1">
        <v>-2.830188679245283</v>
      </c>
    </row>
    <row r="51" ht="15.75" customHeight="1">
      <c r="A51" s="1" t="s">
        <v>110</v>
      </c>
      <c r="B51" s="1" t="s">
        <v>111</v>
      </c>
      <c r="C51" s="1" t="s">
        <v>103</v>
      </c>
      <c r="D51" s="1">
        <f t="shared" si="2"/>
        <v>1.199784411</v>
      </c>
      <c r="E51" s="1">
        <v>5.970149</v>
      </c>
      <c r="F51" s="1">
        <v>0.95741</v>
      </c>
      <c r="G51" s="1">
        <v>1.0</v>
      </c>
      <c r="H51" s="1">
        <v>0.3322</v>
      </c>
      <c r="I51" s="1">
        <v>0.2302</v>
      </c>
      <c r="J51" s="1" t="s">
        <v>112</v>
      </c>
      <c r="K51" s="1">
        <v>31.34328358208955</v>
      </c>
    </row>
    <row r="52" ht="15.75" customHeight="1">
      <c r="A52" s="1" t="s">
        <v>113</v>
      </c>
      <c r="B52" s="1" t="s">
        <v>87</v>
      </c>
      <c r="C52" s="1" t="s">
        <v>114</v>
      </c>
      <c r="D52" s="1">
        <f t="shared" si="2"/>
        <v>1.19645892</v>
      </c>
      <c r="E52" s="1">
        <v>0.0</v>
      </c>
      <c r="F52" s="1">
        <v>0.88137</v>
      </c>
      <c r="G52" s="1">
        <v>0.693446</v>
      </c>
      <c r="H52" s="1">
        <v>0.329</v>
      </c>
      <c r="I52" s="1">
        <v>0.4321</v>
      </c>
      <c r="K52" s="1">
        <v>-2.5641025641025643</v>
      </c>
    </row>
    <row r="53" ht="15.75" customHeight="1">
      <c r="A53" s="1" t="s">
        <v>115</v>
      </c>
      <c r="B53" s="1" t="s">
        <v>21</v>
      </c>
      <c r="C53" s="1" t="s">
        <v>116</v>
      </c>
      <c r="D53" s="1">
        <f t="shared" si="2"/>
        <v>1.193614281</v>
      </c>
      <c r="E53" s="1">
        <v>0.0</v>
      </c>
      <c r="F53" s="1">
        <v>0.969718</v>
      </c>
      <c r="G53" s="1">
        <v>0.594615</v>
      </c>
      <c r="H53" s="1">
        <v>0.3493</v>
      </c>
      <c r="I53" s="1">
        <v>0.4321</v>
      </c>
      <c r="K53" s="1">
        <v>0.0</v>
      </c>
    </row>
    <row r="54" ht="15.75" customHeight="1">
      <c r="A54" s="1" t="s">
        <v>117</v>
      </c>
      <c r="B54" s="1" t="s">
        <v>36</v>
      </c>
      <c r="C54" s="1" t="s">
        <v>118</v>
      </c>
      <c r="D54" s="1">
        <f t="shared" si="2"/>
        <v>1.191657975</v>
      </c>
      <c r="E54" s="1">
        <v>6.779661</v>
      </c>
      <c r="F54" s="1">
        <v>0.892843</v>
      </c>
      <c r="G54" s="1">
        <v>1.0</v>
      </c>
      <c r="H54" s="1">
        <v>0.3622</v>
      </c>
      <c r="I54" s="1">
        <v>0.4321</v>
      </c>
      <c r="K54" s="1">
        <v>-0.5649717514124294</v>
      </c>
    </row>
    <row r="55" ht="15.75" customHeight="1">
      <c r="A55" s="1" t="s">
        <v>119</v>
      </c>
      <c r="B55" s="1" t="s">
        <v>24</v>
      </c>
      <c r="C55" s="1" t="s">
        <v>120</v>
      </c>
      <c r="D55" s="1">
        <f t="shared" si="2"/>
        <v>1.188561693</v>
      </c>
      <c r="E55" s="1">
        <v>4.123711</v>
      </c>
      <c r="F55" s="1">
        <v>0.942226</v>
      </c>
      <c r="G55" s="1">
        <v>1.0</v>
      </c>
      <c r="H55" s="1">
        <v>0.3487</v>
      </c>
      <c r="I55" s="1">
        <v>0.4321</v>
      </c>
      <c r="K55" s="1">
        <v>-3.6082474226804124</v>
      </c>
    </row>
    <row r="56" ht="15.75" customHeight="1">
      <c r="A56" s="1" t="s">
        <v>121</v>
      </c>
      <c r="B56" s="1" t="s">
        <v>21</v>
      </c>
      <c r="C56" s="1" t="s">
        <v>122</v>
      </c>
      <c r="D56" s="1">
        <f t="shared" si="2"/>
        <v>1.174746665</v>
      </c>
      <c r="E56" s="1">
        <v>4.830918</v>
      </c>
      <c r="F56" s="1">
        <v>0.953615</v>
      </c>
      <c r="G56" s="1">
        <v>1.0</v>
      </c>
      <c r="H56" s="1">
        <v>0.3493</v>
      </c>
      <c r="I56" s="1">
        <v>0.4321</v>
      </c>
      <c r="K56" s="1">
        <v>-4.830917874396135</v>
      </c>
    </row>
    <row r="57" ht="15.75" customHeight="1">
      <c r="A57" s="1" t="s">
        <v>123</v>
      </c>
      <c r="B57" s="1" t="s">
        <v>45</v>
      </c>
      <c r="C57" s="1" t="s">
        <v>124</v>
      </c>
      <c r="D57" s="1">
        <f t="shared" si="2"/>
        <v>1.168821021</v>
      </c>
      <c r="E57" s="1">
        <v>6.9869</v>
      </c>
      <c r="F57" s="1">
        <v>0.918617</v>
      </c>
      <c r="G57" s="1">
        <v>1.0</v>
      </c>
      <c r="H57" s="1">
        <v>0.3552</v>
      </c>
      <c r="I57" s="1">
        <v>0.5969</v>
      </c>
      <c r="J57" s="1" t="s">
        <v>47</v>
      </c>
      <c r="K57" s="1">
        <v>-5.240174672489083</v>
      </c>
    </row>
    <row r="58" ht="15.75" customHeight="1">
      <c r="A58" s="1" t="s">
        <v>125</v>
      </c>
      <c r="B58" s="1" t="s">
        <v>49</v>
      </c>
      <c r="C58" s="1" t="s">
        <v>126</v>
      </c>
      <c r="D58" s="1">
        <f t="shared" si="2"/>
        <v>1.167681278</v>
      </c>
      <c r="E58" s="1">
        <v>2.314815</v>
      </c>
      <c r="F58" s="1">
        <v>0.96601</v>
      </c>
      <c r="G58" s="1">
        <v>1.0</v>
      </c>
      <c r="H58" s="1">
        <v>0.3515</v>
      </c>
      <c r="I58" s="1">
        <v>0.4321</v>
      </c>
      <c r="K58" s="1">
        <v>0.0</v>
      </c>
    </row>
    <row r="59" ht="15.75" customHeight="1">
      <c r="A59" s="1" t="s">
        <v>127</v>
      </c>
      <c r="B59" s="1" t="s">
        <v>36</v>
      </c>
      <c r="C59" s="1" t="s">
        <v>128</v>
      </c>
      <c r="D59" s="1">
        <f t="shared" si="2"/>
        <v>1.163797725</v>
      </c>
      <c r="E59" s="1">
        <v>7.335907</v>
      </c>
      <c r="F59" s="1">
        <v>0.890988</v>
      </c>
      <c r="G59" s="1">
        <v>1.0</v>
      </c>
      <c r="H59" s="1">
        <v>0.3622</v>
      </c>
      <c r="I59" s="1">
        <v>0.4321</v>
      </c>
      <c r="K59" s="1">
        <v>16.602316602316602</v>
      </c>
    </row>
    <row r="60" ht="15.75" customHeight="1">
      <c r="A60" s="1" t="s">
        <v>129</v>
      </c>
      <c r="B60" s="1" t="s">
        <v>21</v>
      </c>
      <c r="C60" s="1" t="s">
        <v>130</v>
      </c>
      <c r="D60" s="1">
        <f t="shared" si="2"/>
        <v>1.162888323</v>
      </c>
      <c r="E60" s="1">
        <v>4.651163</v>
      </c>
      <c r="F60" s="1">
        <v>0.954214</v>
      </c>
      <c r="G60" s="1">
        <v>1.0</v>
      </c>
      <c r="H60" s="1">
        <v>0.3493</v>
      </c>
      <c r="I60" s="1">
        <v>0.4321</v>
      </c>
      <c r="K60" s="1">
        <v>-2.7906976744186047</v>
      </c>
    </row>
    <row r="61" ht="15.75" customHeight="1">
      <c r="A61" s="1" t="s">
        <v>131</v>
      </c>
      <c r="B61" s="1" t="s">
        <v>12</v>
      </c>
      <c r="C61" s="1" t="s">
        <v>132</v>
      </c>
      <c r="D61" s="1">
        <f t="shared" si="2"/>
        <v>1.158421668</v>
      </c>
      <c r="E61" s="1">
        <v>9.090909</v>
      </c>
      <c r="F61" s="1">
        <v>0.949368</v>
      </c>
      <c r="G61" s="1">
        <v>1.0</v>
      </c>
      <c r="H61" s="1">
        <v>0.3313</v>
      </c>
      <c r="I61" s="1">
        <v>0.4693</v>
      </c>
      <c r="J61" s="1" t="s">
        <v>14</v>
      </c>
      <c r="K61" s="1">
        <v>-2.727272727272727</v>
      </c>
    </row>
    <row r="62" ht="15.75" customHeight="1">
      <c r="A62" s="1" t="s">
        <v>133</v>
      </c>
      <c r="B62" s="1" t="s">
        <v>12</v>
      </c>
      <c r="C62" s="1" t="s">
        <v>134</v>
      </c>
      <c r="D62" s="1">
        <f t="shared" si="2"/>
        <v>1.152942402</v>
      </c>
      <c r="E62" s="1">
        <v>2.173913</v>
      </c>
      <c r="F62" s="1">
        <v>0.972425</v>
      </c>
      <c r="G62" s="1">
        <v>1.0</v>
      </c>
      <c r="H62" s="1">
        <v>0.3313</v>
      </c>
      <c r="I62" s="1">
        <v>0.4693</v>
      </c>
      <c r="J62" s="1" t="s">
        <v>14</v>
      </c>
      <c r="K62" s="1">
        <v>6.159420289855072</v>
      </c>
    </row>
    <row r="63" ht="15.75" customHeight="1">
      <c r="A63" s="1" t="s">
        <v>135</v>
      </c>
      <c r="B63" s="1" t="s">
        <v>111</v>
      </c>
      <c r="C63" s="1" t="s">
        <v>107</v>
      </c>
      <c r="D63" s="1">
        <f t="shared" si="2"/>
        <v>1.151592817</v>
      </c>
      <c r="E63" s="1">
        <v>10.050251</v>
      </c>
      <c r="F63" s="1">
        <v>0.943809</v>
      </c>
      <c r="G63" s="1">
        <v>1.0</v>
      </c>
      <c r="H63" s="1">
        <v>0.3322</v>
      </c>
      <c r="I63" s="1">
        <v>0.2302</v>
      </c>
      <c r="J63" s="1" t="s">
        <v>112</v>
      </c>
      <c r="K63" s="1">
        <v>1.0050251256281406</v>
      </c>
    </row>
    <row r="64" ht="15.75" customHeight="1">
      <c r="A64" s="1" t="s">
        <v>136</v>
      </c>
      <c r="B64" s="1" t="s">
        <v>49</v>
      </c>
      <c r="C64" s="1" t="s">
        <v>137</v>
      </c>
      <c r="D64" s="1">
        <f t="shared" si="2"/>
        <v>1.148872014</v>
      </c>
      <c r="E64" s="1">
        <v>4.780876</v>
      </c>
      <c r="F64" s="1">
        <v>0.957789</v>
      </c>
      <c r="G64" s="1">
        <v>1.0</v>
      </c>
      <c r="H64" s="1">
        <v>0.3515</v>
      </c>
      <c r="I64" s="1">
        <v>0.4321</v>
      </c>
      <c r="K64" s="1">
        <v>2.7888446215139444</v>
      </c>
    </row>
    <row r="65" ht="15.75" customHeight="1">
      <c r="A65" s="1" t="s">
        <v>138</v>
      </c>
      <c r="B65" s="1" t="s">
        <v>21</v>
      </c>
      <c r="C65" s="1" t="s">
        <v>57</v>
      </c>
      <c r="D65" s="1">
        <f t="shared" si="2"/>
        <v>1.148045449</v>
      </c>
      <c r="E65" s="1">
        <v>5.357143</v>
      </c>
      <c r="F65" s="1">
        <v>0.951861</v>
      </c>
      <c r="G65" s="1">
        <v>1.0</v>
      </c>
      <c r="H65" s="1">
        <v>0.3493</v>
      </c>
      <c r="I65" s="1">
        <v>0.4321</v>
      </c>
      <c r="K65" s="1">
        <v>-1.7857142857142858</v>
      </c>
    </row>
    <row r="66" ht="15.75" customHeight="1">
      <c r="A66" s="1" t="s">
        <v>139</v>
      </c>
      <c r="B66" s="1" t="s">
        <v>16</v>
      </c>
      <c r="C66" s="1" t="s">
        <v>140</v>
      </c>
      <c r="D66" s="1">
        <f t="shared" si="2"/>
        <v>1.144668638</v>
      </c>
      <c r="E66" s="1">
        <v>6.278027</v>
      </c>
      <c r="F66" s="1">
        <v>0.941699</v>
      </c>
      <c r="G66" s="1">
        <v>1.0</v>
      </c>
      <c r="H66" s="1">
        <v>0.3499</v>
      </c>
      <c r="I66" s="1">
        <v>0.4321</v>
      </c>
      <c r="K66" s="1">
        <v>-4.932735426008969</v>
      </c>
    </row>
    <row r="67" ht="15.75" customHeight="1">
      <c r="A67" s="1" t="s">
        <v>141</v>
      </c>
      <c r="B67" s="1" t="s">
        <v>45</v>
      </c>
      <c r="C67" s="1" t="s">
        <v>142</v>
      </c>
      <c r="D67" s="1">
        <f t="shared" si="2"/>
        <v>1.142150625</v>
      </c>
      <c r="E67" s="1">
        <v>8.163265</v>
      </c>
      <c r="F67" s="1">
        <v>0.914696</v>
      </c>
      <c r="G67" s="1">
        <v>1.0</v>
      </c>
      <c r="H67" s="1">
        <v>0.3552</v>
      </c>
      <c r="I67" s="1">
        <v>0.5969</v>
      </c>
      <c r="J67" s="1" t="s">
        <v>47</v>
      </c>
      <c r="K67" s="1">
        <v>-2.857142857142857</v>
      </c>
    </row>
    <row r="68" ht="15.75" customHeight="1">
      <c r="A68" s="1" t="s">
        <v>143</v>
      </c>
      <c r="B68" s="1" t="s">
        <v>16</v>
      </c>
      <c r="C68" s="1" t="s">
        <v>55</v>
      </c>
      <c r="D68" s="1">
        <f t="shared" si="2"/>
        <v>1.141756539</v>
      </c>
      <c r="E68" s="1">
        <v>0.0</v>
      </c>
      <c r="F68" s="1">
        <v>0.962626</v>
      </c>
      <c r="G68" s="1">
        <v>0.693446</v>
      </c>
      <c r="H68" s="1">
        <v>0.3499</v>
      </c>
      <c r="I68" s="1">
        <v>0.4321</v>
      </c>
      <c r="K68" s="1">
        <v>0.0</v>
      </c>
    </row>
    <row r="69" ht="15.75" customHeight="1">
      <c r="A69" s="1" t="s">
        <v>144</v>
      </c>
      <c r="B69" s="1" t="s">
        <v>16</v>
      </c>
      <c r="C69" s="1" t="s">
        <v>145</v>
      </c>
      <c r="D69" s="1">
        <f t="shared" si="2"/>
        <v>1.141718856</v>
      </c>
      <c r="E69" s="1">
        <v>9.009009</v>
      </c>
      <c r="F69" s="1">
        <v>0.932595</v>
      </c>
      <c r="G69" s="1">
        <v>1.0</v>
      </c>
      <c r="H69" s="1">
        <v>0.3499</v>
      </c>
      <c r="I69" s="1">
        <v>0.4321</v>
      </c>
      <c r="K69" s="1">
        <v>-4.054054054054054</v>
      </c>
    </row>
    <row r="70" ht="15.75" customHeight="1">
      <c r="A70" s="1" t="s">
        <v>146</v>
      </c>
      <c r="B70" s="1" t="s">
        <v>49</v>
      </c>
      <c r="C70" s="1" t="s">
        <v>147</v>
      </c>
      <c r="D70" s="1">
        <f t="shared" si="2"/>
        <v>1.141604319</v>
      </c>
      <c r="E70" s="1">
        <v>3.257329</v>
      </c>
      <c r="F70" s="1">
        <v>0.962868</v>
      </c>
      <c r="G70" s="1">
        <v>1.0</v>
      </c>
      <c r="H70" s="1">
        <v>0.3515</v>
      </c>
      <c r="I70" s="1">
        <v>0.4321</v>
      </c>
      <c r="K70" s="1">
        <v>16.286644951140065</v>
      </c>
    </row>
    <row r="71" ht="15.75" customHeight="1">
      <c r="A71" s="1" t="s">
        <v>148</v>
      </c>
      <c r="B71" s="1" t="s">
        <v>45</v>
      </c>
      <c r="C71" s="1" t="s">
        <v>149</v>
      </c>
      <c r="D71" s="1">
        <f t="shared" si="2"/>
        <v>1.136277681</v>
      </c>
      <c r="E71" s="1">
        <v>6.185567</v>
      </c>
      <c r="F71" s="1">
        <v>0.921288</v>
      </c>
      <c r="G71" s="1">
        <v>1.0</v>
      </c>
      <c r="H71" s="1">
        <v>0.3552</v>
      </c>
      <c r="I71" s="1">
        <v>0.5969</v>
      </c>
      <c r="J71" s="1" t="s">
        <v>47</v>
      </c>
      <c r="K71" s="1">
        <v>2.7491408934707904</v>
      </c>
    </row>
    <row r="72" ht="15.75" customHeight="1">
      <c r="A72" s="1" t="s">
        <v>150</v>
      </c>
      <c r="B72" s="1" t="s">
        <v>24</v>
      </c>
      <c r="C72" s="1" t="s">
        <v>124</v>
      </c>
      <c r="D72" s="1">
        <f t="shared" si="2"/>
        <v>1.126081203</v>
      </c>
      <c r="E72" s="1">
        <v>10.043668</v>
      </c>
      <c r="F72" s="1">
        <v>0.922492</v>
      </c>
      <c r="G72" s="1">
        <v>1.0</v>
      </c>
      <c r="H72" s="1">
        <v>0.3487</v>
      </c>
      <c r="I72" s="1">
        <v>0.4321</v>
      </c>
      <c r="K72" s="1">
        <v>-5.240174672489083</v>
      </c>
    </row>
    <row r="73" ht="15.75" customHeight="1">
      <c r="A73" s="1" t="s">
        <v>151</v>
      </c>
      <c r="B73" s="1" t="s">
        <v>16</v>
      </c>
      <c r="C73" s="1" t="s">
        <v>152</v>
      </c>
      <c r="D73" s="1">
        <f t="shared" si="2"/>
        <v>1.123022999</v>
      </c>
      <c r="E73" s="1">
        <v>1.5625</v>
      </c>
      <c r="F73" s="1">
        <v>0.957417</v>
      </c>
      <c r="G73" s="1">
        <v>1.0</v>
      </c>
      <c r="H73" s="1">
        <v>0.3499</v>
      </c>
      <c r="I73" s="1">
        <v>0.4321</v>
      </c>
      <c r="K73" s="1">
        <v>0.78125</v>
      </c>
    </row>
    <row r="74" ht="15.75" customHeight="1">
      <c r="A74" s="1" t="s">
        <v>153</v>
      </c>
      <c r="B74" s="1" t="s">
        <v>49</v>
      </c>
      <c r="C74" s="1" t="s">
        <v>154</v>
      </c>
      <c r="D74" s="1">
        <f t="shared" si="2"/>
        <v>1.121602637</v>
      </c>
      <c r="E74" s="1">
        <v>7.761194</v>
      </c>
      <c r="F74" s="1">
        <v>0.947855</v>
      </c>
      <c r="G74" s="1">
        <v>1.0</v>
      </c>
      <c r="H74" s="1">
        <v>0.3515</v>
      </c>
      <c r="I74" s="1">
        <v>0.4321</v>
      </c>
      <c r="K74" s="1">
        <v>21.791044776119403</v>
      </c>
    </row>
    <row r="75" ht="15.75" customHeight="1">
      <c r="A75" s="1" t="s">
        <v>155</v>
      </c>
      <c r="B75" s="1" t="s">
        <v>36</v>
      </c>
      <c r="C75" s="1" t="s">
        <v>156</v>
      </c>
      <c r="D75" s="1">
        <f t="shared" si="2"/>
        <v>1.111890034</v>
      </c>
      <c r="E75" s="1">
        <v>0.843882</v>
      </c>
      <c r="F75" s="1">
        <v>0.912629</v>
      </c>
      <c r="G75" s="1">
        <v>1.0</v>
      </c>
      <c r="H75" s="1">
        <v>0.3622</v>
      </c>
      <c r="I75" s="1">
        <v>0.4321</v>
      </c>
      <c r="K75" s="1">
        <v>-4.641350210970464</v>
      </c>
    </row>
    <row r="76" ht="15.75" customHeight="1">
      <c r="A76" s="1" t="s">
        <v>157</v>
      </c>
      <c r="B76" s="1" t="s">
        <v>49</v>
      </c>
      <c r="C76" s="1" t="s">
        <v>158</v>
      </c>
      <c r="D76" s="1">
        <f t="shared" si="2"/>
        <v>1.107024907</v>
      </c>
      <c r="E76" s="1">
        <v>2.616517</v>
      </c>
      <c r="F76" s="1">
        <v>0.965004</v>
      </c>
      <c r="G76" s="1">
        <v>1.0</v>
      </c>
      <c r="H76" s="1">
        <v>0.3515</v>
      </c>
      <c r="I76" s="1">
        <v>0.4321</v>
      </c>
      <c r="K76" s="1">
        <v>10.057236304170074</v>
      </c>
    </row>
    <row r="77" ht="15.75" customHeight="1">
      <c r="A77" s="1" t="s">
        <v>159</v>
      </c>
      <c r="B77" s="1" t="s">
        <v>16</v>
      </c>
      <c r="C77" s="1" t="s">
        <v>160</v>
      </c>
      <c r="D77" s="1">
        <f t="shared" si="2"/>
        <v>1.103589384</v>
      </c>
      <c r="E77" s="1">
        <v>0.917431</v>
      </c>
      <c r="F77" s="1">
        <v>0.959567</v>
      </c>
      <c r="G77" s="1">
        <v>0.885745</v>
      </c>
      <c r="H77" s="1">
        <v>0.3499</v>
      </c>
      <c r="I77" s="1">
        <v>0.4321</v>
      </c>
      <c r="K77" s="1">
        <v>0.0</v>
      </c>
    </row>
    <row r="78" ht="15.75" customHeight="1">
      <c r="A78" s="1" t="s">
        <v>161</v>
      </c>
      <c r="B78" s="1" t="s">
        <v>49</v>
      </c>
      <c r="C78" s="1" t="s">
        <v>162</v>
      </c>
      <c r="D78" s="1">
        <f t="shared" si="2"/>
        <v>1.102563792</v>
      </c>
      <c r="E78" s="1">
        <v>0.0</v>
      </c>
      <c r="F78" s="1">
        <v>0.973726</v>
      </c>
      <c r="G78" s="1">
        <v>1.0</v>
      </c>
      <c r="H78" s="1">
        <v>0.3515</v>
      </c>
      <c r="I78" s="1">
        <v>0.4321</v>
      </c>
      <c r="K78" s="1">
        <v>-8.045977011494253</v>
      </c>
    </row>
    <row r="79" ht="15.75" customHeight="1">
      <c r="A79" s="1" t="s">
        <v>163</v>
      </c>
      <c r="B79" s="1" t="s">
        <v>24</v>
      </c>
      <c r="C79" s="1" t="s">
        <v>164</v>
      </c>
      <c r="D79" s="1">
        <f t="shared" si="2"/>
        <v>1.102351558</v>
      </c>
      <c r="E79" s="1">
        <v>3.174603</v>
      </c>
      <c r="F79" s="1">
        <v>0.945389</v>
      </c>
      <c r="G79" s="1">
        <v>1.0</v>
      </c>
      <c r="H79" s="1">
        <v>0.3487</v>
      </c>
      <c r="I79" s="1">
        <v>0.4321</v>
      </c>
      <c r="K79" s="1">
        <v>-3.9682539682539684</v>
      </c>
    </row>
    <row r="80" ht="15.75" customHeight="1">
      <c r="A80" s="1" t="s">
        <v>165</v>
      </c>
      <c r="B80" s="1" t="s">
        <v>45</v>
      </c>
      <c r="C80" s="1" t="s">
        <v>166</v>
      </c>
      <c r="D80" s="1">
        <f t="shared" si="2"/>
        <v>1.100761315</v>
      </c>
      <c r="E80" s="1">
        <v>0.0</v>
      </c>
      <c r="F80" s="1">
        <v>0.941907</v>
      </c>
      <c r="G80" s="1">
        <v>0.693446</v>
      </c>
      <c r="H80" s="1">
        <v>0.3552</v>
      </c>
      <c r="I80" s="1">
        <v>0.5969</v>
      </c>
      <c r="J80" s="1" t="s">
        <v>47</v>
      </c>
      <c r="K80" s="1">
        <v>0.0</v>
      </c>
    </row>
    <row r="81" ht="15.75" customHeight="1">
      <c r="A81" s="1" t="s">
        <v>167</v>
      </c>
      <c r="B81" s="1" t="s">
        <v>16</v>
      </c>
      <c r="C81" s="1" t="s">
        <v>128</v>
      </c>
      <c r="D81" s="1">
        <f t="shared" si="2"/>
        <v>1.100080888</v>
      </c>
      <c r="E81" s="1">
        <v>0.0</v>
      </c>
      <c r="F81" s="1">
        <v>0.962626</v>
      </c>
      <c r="G81" s="1">
        <v>1.0</v>
      </c>
      <c r="H81" s="1">
        <v>0.3499</v>
      </c>
      <c r="I81" s="1">
        <v>0.4321</v>
      </c>
      <c r="K81" s="1">
        <v>-4.2471042471042475</v>
      </c>
    </row>
    <row r="82" ht="15.75" customHeight="1">
      <c r="A82" s="1" t="s">
        <v>168</v>
      </c>
      <c r="B82" s="1" t="s">
        <v>16</v>
      </c>
      <c r="C82" s="1" t="s">
        <v>128</v>
      </c>
      <c r="D82" s="1">
        <f t="shared" si="2"/>
        <v>1.095219125</v>
      </c>
      <c r="E82" s="1">
        <v>3.088803</v>
      </c>
      <c r="F82" s="1">
        <v>0.952329</v>
      </c>
      <c r="G82" s="1">
        <v>1.0</v>
      </c>
      <c r="H82" s="1">
        <v>0.3499</v>
      </c>
      <c r="I82" s="1">
        <v>0.4321</v>
      </c>
      <c r="K82" s="1">
        <v>0.0</v>
      </c>
    </row>
    <row r="83" ht="15.75" customHeight="1">
      <c r="A83" s="1" t="s">
        <v>169</v>
      </c>
      <c r="B83" s="1" t="s">
        <v>12</v>
      </c>
      <c r="C83" s="1" t="s">
        <v>170</v>
      </c>
      <c r="D83" s="1">
        <f t="shared" si="2"/>
        <v>1.094961388</v>
      </c>
      <c r="E83" s="1">
        <v>1.42487</v>
      </c>
      <c r="F83" s="1">
        <v>0.974922</v>
      </c>
      <c r="G83" s="1">
        <v>1.0</v>
      </c>
      <c r="H83" s="1">
        <v>0.3313</v>
      </c>
      <c r="I83" s="1">
        <v>0.4693</v>
      </c>
      <c r="J83" s="1" t="s">
        <v>14</v>
      </c>
      <c r="K83" s="1">
        <v>4.727979274611399</v>
      </c>
    </row>
    <row r="84" ht="15.75" customHeight="1">
      <c r="A84" s="1" t="s">
        <v>171</v>
      </c>
      <c r="B84" s="1" t="s">
        <v>12</v>
      </c>
      <c r="C84" s="1" t="s">
        <v>172</v>
      </c>
      <c r="D84" s="1">
        <f t="shared" si="2"/>
        <v>1.092393083</v>
      </c>
      <c r="E84" s="1">
        <v>4.477612</v>
      </c>
      <c r="F84" s="1">
        <v>0.964746</v>
      </c>
      <c r="G84" s="1">
        <v>1.0</v>
      </c>
      <c r="H84" s="1">
        <v>0.3313</v>
      </c>
      <c r="I84" s="1">
        <v>0.4693</v>
      </c>
      <c r="J84" s="1" t="s">
        <v>14</v>
      </c>
      <c r="K84" s="1">
        <v>-1.492537313432836</v>
      </c>
    </row>
    <row r="85" ht="15.75" customHeight="1">
      <c r="A85" s="1" t="s">
        <v>173</v>
      </c>
      <c r="B85" s="1" t="s">
        <v>49</v>
      </c>
      <c r="C85" s="1" t="s">
        <v>174</v>
      </c>
      <c r="D85" s="1">
        <f t="shared" si="2"/>
        <v>1.091425647</v>
      </c>
      <c r="E85" s="1">
        <v>6.10687</v>
      </c>
      <c r="F85" s="1">
        <v>0.953369</v>
      </c>
      <c r="G85" s="1">
        <v>1.0</v>
      </c>
      <c r="H85" s="1">
        <v>0.3515</v>
      </c>
      <c r="I85" s="1">
        <v>0.4321</v>
      </c>
      <c r="K85" s="1">
        <v>-1.0997643362136684</v>
      </c>
    </row>
    <row r="86" ht="15.75" customHeight="1">
      <c r="A86" s="1" t="s">
        <v>175</v>
      </c>
      <c r="B86" s="1" t="s">
        <v>21</v>
      </c>
      <c r="C86" s="1" t="s">
        <v>176</v>
      </c>
      <c r="D86" s="1">
        <f t="shared" si="2"/>
        <v>1.089797058</v>
      </c>
      <c r="E86" s="1">
        <v>0.0</v>
      </c>
      <c r="F86" s="1">
        <v>0.969718</v>
      </c>
      <c r="G86" s="1">
        <v>0.693446</v>
      </c>
      <c r="H86" s="1">
        <v>0.3493</v>
      </c>
      <c r="I86" s="1">
        <v>0.4321</v>
      </c>
      <c r="K86" s="1">
        <v>0.0</v>
      </c>
    </row>
    <row r="87" ht="15.75" customHeight="1">
      <c r="A87" s="1" t="s">
        <v>177</v>
      </c>
      <c r="B87" s="1" t="s">
        <v>24</v>
      </c>
      <c r="C87" s="1" t="s">
        <v>178</v>
      </c>
      <c r="D87" s="1">
        <f t="shared" si="2"/>
        <v>1.087951865</v>
      </c>
      <c r="E87" s="1">
        <v>0.0</v>
      </c>
      <c r="F87" s="1">
        <v>0.955971</v>
      </c>
      <c r="G87" s="1">
        <v>0.693446</v>
      </c>
      <c r="H87" s="1">
        <v>0.3487</v>
      </c>
      <c r="I87" s="1">
        <v>0.4321</v>
      </c>
      <c r="K87" s="1">
        <v>0.0</v>
      </c>
    </row>
    <row r="88" ht="15.75" customHeight="1">
      <c r="A88" s="1" t="s">
        <v>179</v>
      </c>
      <c r="B88" s="1" t="s">
        <v>49</v>
      </c>
      <c r="C88" s="1" t="s">
        <v>180</v>
      </c>
      <c r="D88" s="1">
        <f t="shared" si="2"/>
        <v>1.087277656</v>
      </c>
      <c r="E88" s="1">
        <v>6.818182</v>
      </c>
      <c r="F88" s="1">
        <v>0.950998</v>
      </c>
      <c r="G88" s="1">
        <v>1.0</v>
      </c>
      <c r="H88" s="1">
        <v>0.3515</v>
      </c>
      <c r="I88" s="1">
        <v>0.4321</v>
      </c>
      <c r="K88" s="1">
        <v>-2.6515151515151514</v>
      </c>
    </row>
    <row r="89" ht="15.75" customHeight="1">
      <c r="A89" s="1" t="s">
        <v>181</v>
      </c>
      <c r="B89" s="1" t="s">
        <v>49</v>
      </c>
      <c r="C89" s="1" t="s">
        <v>182</v>
      </c>
      <c r="D89" s="1">
        <f t="shared" si="2"/>
        <v>1.08298846</v>
      </c>
      <c r="E89" s="1">
        <v>3.703704</v>
      </c>
      <c r="F89" s="1">
        <v>0.96138</v>
      </c>
      <c r="G89" s="1">
        <v>1.0</v>
      </c>
      <c r="H89" s="1">
        <v>0.3515</v>
      </c>
      <c r="I89" s="1">
        <v>0.4321</v>
      </c>
      <c r="K89" s="1">
        <v>-3.3333333333333335</v>
      </c>
    </row>
    <row r="90" ht="15.75" customHeight="1">
      <c r="A90" s="1" t="s">
        <v>183</v>
      </c>
      <c r="B90" s="1" t="s">
        <v>49</v>
      </c>
      <c r="C90" s="1" t="s">
        <v>184</v>
      </c>
      <c r="D90" s="1">
        <f t="shared" si="2"/>
        <v>1.080911955</v>
      </c>
      <c r="E90" s="1">
        <v>4.059041</v>
      </c>
      <c r="F90" s="1">
        <v>0.960195</v>
      </c>
      <c r="G90" s="1">
        <v>1.0</v>
      </c>
      <c r="H90" s="1">
        <v>0.3515</v>
      </c>
      <c r="I90" s="1">
        <v>0.4321</v>
      </c>
      <c r="K90" s="1">
        <v>-5.166051660516605</v>
      </c>
    </row>
    <row r="91" ht="15.75" customHeight="1">
      <c r="A91" s="1" t="s">
        <v>185</v>
      </c>
      <c r="B91" s="1" t="s">
        <v>12</v>
      </c>
      <c r="C91" s="1" t="s">
        <v>186</v>
      </c>
      <c r="D91" s="1">
        <f t="shared" si="2"/>
        <v>1.079753345</v>
      </c>
      <c r="E91" s="1">
        <v>0.714286</v>
      </c>
      <c r="F91" s="1">
        <v>0.977291</v>
      </c>
      <c r="G91" s="1">
        <v>1.0</v>
      </c>
      <c r="H91" s="1">
        <v>0.3313</v>
      </c>
      <c r="I91" s="1">
        <v>0.4693</v>
      </c>
      <c r="J91" s="1" t="s">
        <v>14</v>
      </c>
      <c r="K91" s="1">
        <v>0.0</v>
      </c>
    </row>
    <row r="92" ht="15.75" customHeight="1">
      <c r="A92" s="1" t="s">
        <v>187</v>
      </c>
      <c r="B92" s="1" t="s">
        <v>12</v>
      </c>
      <c r="C92" s="1" t="s">
        <v>188</v>
      </c>
      <c r="D92" s="1">
        <f t="shared" si="2"/>
        <v>1.076220952</v>
      </c>
      <c r="E92" s="1">
        <v>0.0</v>
      </c>
      <c r="F92" s="1">
        <v>0.979671</v>
      </c>
      <c r="G92" s="1">
        <v>1.0</v>
      </c>
      <c r="H92" s="1">
        <v>0.3313</v>
      </c>
      <c r="I92" s="1">
        <v>0.4693</v>
      </c>
      <c r="J92" s="1" t="s">
        <v>14</v>
      </c>
      <c r="K92" s="1">
        <v>-3.8333333333333335</v>
      </c>
    </row>
    <row r="93" ht="15.75" customHeight="1">
      <c r="A93" s="1" t="s">
        <v>189</v>
      </c>
      <c r="B93" s="1" t="s">
        <v>21</v>
      </c>
      <c r="C93" s="1" t="s">
        <v>190</v>
      </c>
      <c r="D93" s="1">
        <f t="shared" si="2"/>
        <v>1.075869722</v>
      </c>
      <c r="E93" s="1">
        <v>2.919708</v>
      </c>
      <c r="F93" s="1">
        <v>0.959986</v>
      </c>
      <c r="G93" s="1">
        <v>1.0</v>
      </c>
      <c r="H93" s="1">
        <v>0.3493</v>
      </c>
      <c r="I93" s="1">
        <v>0.4321</v>
      </c>
      <c r="K93" s="1">
        <v>-5.839416058394161</v>
      </c>
    </row>
    <row r="94" ht="15.75" customHeight="1">
      <c r="A94" s="1" t="s">
        <v>191</v>
      </c>
      <c r="B94" s="1" t="s">
        <v>49</v>
      </c>
      <c r="C94" s="1" t="s">
        <v>192</v>
      </c>
      <c r="D94" s="1">
        <f t="shared" si="2"/>
        <v>1.074996131</v>
      </c>
      <c r="E94" s="1">
        <v>5.730659</v>
      </c>
      <c r="F94" s="1">
        <v>0.954623</v>
      </c>
      <c r="G94" s="1">
        <v>1.0</v>
      </c>
      <c r="H94" s="1">
        <v>0.3515</v>
      </c>
      <c r="I94" s="1">
        <v>0.4321</v>
      </c>
      <c r="K94" s="1">
        <v>12.893982808022923</v>
      </c>
    </row>
    <row r="95" ht="15.75" customHeight="1">
      <c r="A95" s="1" t="s">
        <v>193</v>
      </c>
      <c r="B95" s="1" t="s">
        <v>24</v>
      </c>
      <c r="C95" s="1" t="s">
        <v>184</v>
      </c>
      <c r="D95" s="1">
        <f t="shared" si="2"/>
        <v>1.069400072</v>
      </c>
      <c r="E95" s="1">
        <v>5.904059</v>
      </c>
      <c r="F95" s="1">
        <v>0.936291</v>
      </c>
      <c r="G95" s="1">
        <v>1.0</v>
      </c>
      <c r="H95" s="1">
        <v>0.3487</v>
      </c>
      <c r="I95" s="1">
        <v>0.4321</v>
      </c>
      <c r="K95" s="1">
        <v>-1.3678905687544995</v>
      </c>
    </row>
    <row r="96" ht="15.75" customHeight="1">
      <c r="A96" s="1" t="s">
        <v>194</v>
      </c>
      <c r="B96" s="1" t="s">
        <v>16</v>
      </c>
      <c r="C96" s="1" t="s">
        <v>195</v>
      </c>
      <c r="D96" s="1">
        <f t="shared" si="2"/>
        <v>1.067840536</v>
      </c>
      <c r="E96" s="1">
        <v>0.0</v>
      </c>
      <c r="F96" s="1">
        <v>0.962626</v>
      </c>
      <c r="G96" s="1">
        <v>0.41083</v>
      </c>
      <c r="H96" s="1">
        <v>0.3499</v>
      </c>
      <c r="I96" s="1">
        <v>0.4321</v>
      </c>
      <c r="K96" s="1">
        <v>0.0</v>
      </c>
    </row>
    <row r="97" ht="15.75" customHeight="1">
      <c r="A97" s="1" t="s">
        <v>196</v>
      </c>
      <c r="B97" s="1" t="s">
        <v>36</v>
      </c>
      <c r="C97" s="1" t="s">
        <v>197</v>
      </c>
      <c r="D97" s="1">
        <f t="shared" si="2"/>
        <v>1.06670478</v>
      </c>
      <c r="E97" s="1">
        <v>3.018868</v>
      </c>
      <c r="F97" s="1">
        <v>0.905379</v>
      </c>
      <c r="G97" s="1">
        <v>1.0</v>
      </c>
      <c r="H97" s="1">
        <v>0.3622</v>
      </c>
      <c r="I97" s="1">
        <v>0.4321</v>
      </c>
      <c r="K97" s="1">
        <v>-3.7735849056603774</v>
      </c>
    </row>
    <row r="98" ht="15.75" customHeight="1">
      <c r="A98" s="1" t="s">
        <v>198</v>
      </c>
      <c r="B98" s="1" t="s">
        <v>21</v>
      </c>
      <c r="C98" s="1" t="s">
        <v>199</v>
      </c>
      <c r="D98" s="1">
        <f t="shared" si="2"/>
        <v>1.0642265</v>
      </c>
      <c r="E98" s="1">
        <v>3.558719</v>
      </c>
      <c r="F98" s="1">
        <v>0.957856</v>
      </c>
      <c r="G98" s="1">
        <v>1.0</v>
      </c>
      <c r="H98" s="1">
        <v>0.3493</v>
      </c>
      <c r="I98" s="1">
        <v>0.4321</v>
      </c>
      <c r="K98" s="1">
        <v>-4.98220640569395</v>
      </c>
    </row>
    <row r="99" ht="15.75" customHeight="1">
      <c r="A99" s="1" t="s">
        <v>200</v>
      </c>
      <c r="B99" s="1" t="s">
        <v>21</v>
      </c>
      <c r="C99" s="1" t="s">
        <v>186</v>
      </c>
      <c r="D99" s="1">
        <f t="shared" si="2"/>
        <v>1.062461127</v>
      </c>
      <c r="E99" s="1">
        <v>5.714286</v>
      </c>
      <c r="F99" s="1">
        <v>0.95067</v>
      </c>
      <c r="G99" s="1">
        <v>1.0</v>
      </c>
      <c r="H99" s="1">
        <v>0.3493</v>
      </c>
      <c r="I99" s="1">
        <v>0.4321</v>
      </c>
      <c r="K99" s="1">
        <v>-3.2142857142857144</v>
      </c>
    </row>
    <row r="100" ht="15.75" customHeight="1">
      <c r="A100" s="1" t="s">
        <v>201</v>
      </c>
      <c r="B100" s="1" t="s">
        <v>49</v>
      </c>
      <c r="C100" s="1" t="s">
        <v>202</v>
      </c>
      <c r="D100" s="1">
        <f t="shared" si="2"/>
        <v>1.055279378</v>
      </c>
      <c r="E100" s="1">
        <v>4.878049</v>
      </c>
      <c r="F100" s="1">
        <v>0.957465</v>
      </c>
      <c r="G100" s="1">
        <v>1.0</v>
      </c>
      <c r="H100" s="1">
        <v>0.3515</v>
      </c>
      <c r="I100" s="1">
        <v>0.4321</v>
      </c>
      <c r="K100" s="1">
        <v>-3.1358885017421603</v>
      </c>
    </row>
    <row r="101" ht="15.75" customHeight="1">
      <c r="A101" s="1" t="s">
        <v>203</v>
      </c>
      <c r="B101" s="1" t="s">
        <v>111</v>
      </c>
      <c r="C101" s="1" t="s">
        <v>204</v>
      </c>
      <c r="D101" s="1">
        <f t="shared" si="2"/>
        <v>1.054886688</v>
      </c>
      <c r="E101" s="1">
        <v>1.226994</v>
      </c>
      <c r="F101" s="1">
        <v>0.97322</v>
      </c>
      <c r="G101" s="1">
        <v>1.0</v>
      </c>
      <c r="H101" s="1">
        <v>0.3322</v>
      </c>
      <c r="I101" s="1">
        <v>0.2302</v>
      </c>
      <c r="J101" s="1" t="s">
        <v>112</v>
      </c>
      <c r="K101" s="1">
        <v>30.061349693251532</v>
      </c>
    </row>
    <row r="102" ht="15.75" customHeight="1">
      <c r="A102" s="1" t="s">
        <v>205</v>
      </c>
      <c r="B102" s="1" t="s">
        <v>49</v>
      </c>
      <c r="C102" s="1" t="s">
        <v>202</v>
      </c>
      <c r="D102" s="1">
        <f t="shared" si="2"/>
        <v>1.054226637</v>
      </c>
      <c r="E102" s="1">
        <v>5.574913</v>
      </c>
      <c r="F102" s="1">
        <v>0.955143</v>
      </c>
      <c r="G102" s="1">
        <v>1.0</v>
      </c>
      <c r="H102" s="1">
        <v>0.3515</v>
      </c>
      <c r="I102" s="1">
        <v>0.4321</v>
      </c>
      <c r="K102" s="1">
        <v>-8.362369337979095</v>
      </c>
    </row>
    <row r="103" ht="15.75" customHeight="1">
      <c r="A103" s="1" t="s">
        <v>206</v>
      </c>
      <c r="B103" s="1" t="s">
        <v>36</v>
      </c>
      <c r="C103" s="1" t="s">
        <v>182</v>
      </c>
      <c r="D103" s="1">
        <f t="shared" si="2"/>
        <v>1.053812542</v>
      </c>
      <c r="E103" s="1">
        <v>6.666667</v>
      </c>
      <c r="F103" s="1">
        <v>0.893219</v>
      </c>
      <c r="G103" s="1">
        <v>1.0</v>
      </c>
      <c r="H103" s="1">
        <v>0.3622</v>
      </c>
      <c r="I103" s="1">
        <v>0.4321</v>
      </c>
      <c r="K103" s="1">
        <v>-1.8518518518518519</v>
      </c>
    </row>
    <row r="104" ht="15.75" customHeight="1">
      <c r="A104" s="1" t="s">
        <v>207</v>
      </c>
      <c r="B104" s="1" t="s">
        <v>36</v>
      </c>
      <c r="C104" s="1" t="s">
        <v>208</v>
      </c>
      <c r="D104" s="1">
        <f t="shared" si="2"/>
        <v>1.05200524</v>
      </c>
      <c r="E104" s="1">
        <v>5.882353</v>
      </c>
      <c r="F104" s="1">
        <v>0.895834</v>
      </c>
      <c r="G104" s="1">
        <v>1.0</v>
      </c>
      <c r="H104" s="1">
        <v>0.3622</v>
      </c>
      <c r="I104" s="1">
        <v>0.4321</v>
      </c>
      <c r="K104" s="1">
        <v>-2.813852813852814</v>
      </c>
    </row>
    <row r="105" ht="15.75" customHeight="1">
      <c r="A105" s="1" t="s">
        <v>209</v>
      </c>
      <c r="B105" s="1" t="s">
        <v>49</v>
      </c>
      <c r="C105" s="1" t="s">
        <v>210</v>
      </c>
      <c r="D105" s="1">
        <f t="shared" si="2"/>
        <v>1.05183646</v>
      </c>
      <c r="E105" s="1">
        <v>0.0</v>
      </c>
      <c r="F105" s="1">
        <v>0.973726</v>
      </c>
      <c r="G105" s="1">
        <v>0.30887</v>
      </c>
      <c r="H105" s="1">
        <v>0.3515</v>
      </c>
      <c r="I105" s="1">
        <v>0.4321</v>
      </c>
      <c r="K105" s="1">
        <v>0.43795620437956206</v>
      </c>
    </row>
    <row r="106" ht="15.75" customHeight="1">
      <c r="A106" s="1" t="s">
        <v>211</v>
      </c>
      <c r="B106" s="1" t="s">
        <v>12</v>
      </c>
      <c r="C106" s="1" t="s">
        <v>212</v>
      </c>
      <c r="D106" s="1">
        <f t="shared" si="2"/>
        <v>1.051720117</v>
      </c>
      <c r="E106" s="1">
        <v>4.664723</v>
      </c>
      <c r="F106" s="1">
        <v>0.964122</v>
      </c>
      <c r="G106" s="1">
        <v>1.0</v>
      </c>
      <c r="H106" s="1">
        <v>0.3313</v>
      </c>
      <c r="I106" s="1">
        <v>0.4693</v>
      </c>
      <c r="J106" s="1" t="s">
        <v>14</v>
      </c>
      <c r="K106" s="1">
        <v>4.664723032069971</v>
      </c>
    </row>
    <row r="107" ht="15.75" customHeight="1">
      <c r="A107" s="1" t="s">
        <v>213</v>
      </c>
      <c r="B107" s="1" t="s">
        <v>16</v>
      </c>
      <c r="C107" s="1" t="s">
        <v>214</v>
      </c>
      <c r="D107" s="1">
        <f t="shared" si="2"/>
        <v>1.051482774</v>
      </c>
      <c r="E107" s="1">
        <v>4.895105</v>
      </c>
      <c r="F107" s="1">
        <v>0.946308</v>
      </c>
      <c r="G107" s="1">
        <v>1.0</v>
      </c>
      <c r="H107" s="1">
        <v>0.3499</v>
      </c>
      <c r="I107" s="1">
        <v>0.4321</v>
      </c>
      <c r="K107" s="1">
        <v>-3.1468531468531467</v>
      </c>
    </row>
    <row r="108" ht="15.75" customHeight="1">
      <c r="A108" s="1" t="s">
        <v>215</v>
      </c>
      <c r="B108" s="1" t="s">
        <v>12</v>
      </c>
      <c r="C108" s="1" t="s">
        <v>216</v>
      </c>
      <c r="D108" s="1">
        <f t="shared" si="2"/>
        <v>1.050043792</v>
      </c>
      <c r="E108" s="1">
        <v>6.122449</v>
      </c>
      <c r="F108" s="1">
        <v>0.959263</v>
      </c>
      <c r="G108" s="1">
        <v>1.0</v>
      </c>
      <c r="H108" s="1">
        <v>0.3313</v>
      </c>
      <c r="I108" s="1">
        <v>0.4693</v>
      </c>
      <c r="J108" s="1" t="s">
        <v>14</v>
      </c>
      <c r="K108" s="1">
        <v>-5.1020408163265305</v>
      </c>
    </row>
    <row r="109" ht="15.75" customHeight="1">
      <c r="A109" s="1" t="s">
        <v>217</v>
      </c>
      <c r="B109" s="1" t="s">
        <v>49</v>
      </c>
      <c r="C109" s="1" t="s">
        <v>218</v>
      </c>
      <c r="D109" s="1">
        <f t="shared" si="2"/>
        <v>1.0497495</v>
      </c>
      <c r="E109" s="1">
        <v>5.517241</v>
      </c>
      <c r="F109" s="1">
        <v>0.955335</v>
      </c>
      <c r="G109" s="1">
        <v>1.0</v>
      </c>
      <c r="H109" s="1">
        <v>0.3515</v>
      </c>
      <c r="I109" s="1">
        <v>0.4321</v>
      </c>
      <c r="K109" s="1">
        <v>-7.241379310344827</v>
      </c>
    </row>
    <row r="110" ht="15.75" customHeight="1">
      <c r="A110" s="1" t="s">
        <v>219</v>
      </c>
      <c r="B110" s="1" t="s">
        <v>12</v>
      </c>
      <c r="C110" s="1" t="s">
        <v>220</v>
      </c>
      <c r="D110" s="1">
        <f t="shared" si="2"/>
        <v>1.048551375</v>
      </c>
      <c r="E110" s="1">
        <v>4.040404</v>
      </c>
      <c r="F110" s="1">
        <v>0.966203</v>
      </c>
      <c r="G110" s="1">
        <v>1.0</v>
      </c>
      <c r="H110" s="1">
        <v>0.3313</v>
      </c>
      <c r="I110" s="1">
        <v>0.4693</v>
      </c>
      <c r="J110" s="1" t="s">
        <v>14</v>
      </c>
      <c r="K110" s="1">
        <v>-2.356902356902357</v>
      </c>
    </row>
    <row r="111" ht="15.75" customHeight="1">
      <c r="A111" s="1" t="s">
        <v>221</v>
      </c>
      <c r="B111" s="1" t="s">
        <v>87</v>
      </c>
      <c r="C111" s="1" t="s">
        <v>166</v>
      </c>
      <c r="D111" s="1">
        <f t="shared" si="2"/>
        <v>1.047635959</v>
      </c>
      <c r="E111" s="1">
        <v>0.0</v>
      </c>
      <c r="F111" s="1">
        <v>0.88137</v>
      </c>
      <c r="G111" s="1">
        <v>0.693446</v>
      </c>
      <c r="H111" s="1">
        <v>0.329</v>
      </c>
      <c r="I111" s="1">
        <v>0.4321</v>
      </c>
      <c r="K111" s="1">
        <v>7.4866310160427805</v>
      </c>
    </row>
    <row r="112" ht="15.75" customHeight="1">
      <c r="A112" s="1" t="s">
        <v>222</v>
      </c>
      <c r="B112" s="1" t="s">
        <v>12</v>
      </c>
      <c r="C112" s="1" t="s">
        <v>223</v>
      </c>
      <c r="D112" s="1">
        <f t="shared" si="2"/>
        <v>1.04435613</v>
      </c>
      <c r="E112" s="1">
        <v>0.660066</v>
      </c>
      <c r="F112" s="1">
        <v>0.977471</v>
      </c>
      <c r="G112" s="1">
        <v>1.0</v>
      </c>
      <c r="H112" s="1">
        <v>0.3313</v>
      </c>
      <c r="I112" s="1">
        <v>0.4693</v>
      </c>
      <c r="J112" s="1" t="s">
        <v>14</v>
      </c>
      <c r="K112" s="1">
        <v>-1.9801980198019802</v>
      </c>
    </row>
    <row r="113" ht="15.75" customHeight="1">
      <c r="A113" s="1" t="s">
        <v>224</v>
      </c>
      <c r="B113" s="1" t="s">
        <v>24</v>
      </c>
      <c r="C113" s="1" t="s">
        <v>218</v>
      </c>
      <c r="D113" s="1">
        <f t="shared" si="2"/>
        <v>1.043372365</v>
      </c>
      <c r="E113" s="1">
        <v>4.137931</v>
      </c>
      <c r="F113" s="1">
        <v>0.942178</v>
      </c>
      <c r="G113" s="1">
        <v>1.0</v>
      </c>
      <c r="H113" s="1">
        <v>0.3487</v>
      </c>
      <c r="I113" s="1">
        <v>0.4321</v>
      </c>
      <c r="K113" s="1">
        <v>-4.482758620689655</v>
      </c>
    </row>
    <row r="114" ht="15.75" customHeight="1">
      <c r="A114" s="1" t="s">
        <v>225</v>
      </c>
      <c r="B114" s="1" t="s">
        <v>12</v>
      </c>
      <c r="C114" s="1" t="s">
        <v>226</v>
      </c>
      <c r="D114" s="1">
        <f t="shared" si="2"/>
        <v>1.03600472</v>
      </c>
      <c r="E114" s="1">
        <v>0.0</v>
      </c>
      <c r="F114" s="1">
        <v>0.979671</v>
      </c>
      <c r="G114" s="1">
        <v>0.693446</v>
      </c>
      <c r="H114" s="1">
        <v>0.3313</v>
      </c>
      <c r="I114" s="1">
        <v>0.4693</v>
      </c>
      <c r="J114" s="1" t="s">
        <v>14</v>
      </c>
      <c r="K114" s="1">
        <v>0.0</v>
      </c>
    </row>
    <row r="115" ht="15.75" customHeight="1">
      <c r="A115" s="1" t="s">
        <v>227</v>
      </c>
      <c r="B115" s="1" t="s">
        <v>111</v>
      </c>
      <c r="C115" s="1" t="s">
        <v>228</v>
      </c>
      <c r="D115" s="1">
        <f t="shared" si="2"/>
        <v>1.033459667</v>
      </c>
      <c r="E115" s="1">
        <v>4.0</v>
      </c>
      <c r="F115" s="1">
        <v>0.963977</v>
      </c>
      <c r="G115" s="1">
        <v>1.0</v>
      </c>
      <c r="H115" s="1">
        <v>0.3322</v>
      </c>
      <c r="I115" s="1">
        <v>0.2302</v>
      </c>
      <c r="J115" s="1" t="s">
        <v>112</v>
      </c>
      <c r="K115" s="1">
        <v>4.333333333333333</v>
      </c>
    </row>
    <row r="116" ht="15.75" customHeight="1">
      <c r="A116" s="1" t="s">
        <v>229</v>
      </c>
      <c r="B116" s="1" t="s">
        <v>12</v>
      </c>
      <c r="C116" s="1" t="s">
        <v>178</v>
      </c>
      <c r="D116" s="1">
        <f t="shared" si="2"/>
        <v>1.030335408</v>
      </c>
      <c r="E116" s="1">
        <v>6.134969</v>
      </c>
      <c r="F116" s="1">
        <v>0.959222</v>
      </c>
      <c r="G116" s="1">
        <v>0.526626</v>
      </c>
      <c r="H116" s="1">
        <v>0.3313</v>
      </c>
      <c r="I116" s="1">
        <v>0.4693</v>
      </c>
      <c r="J116" s="1" t="s">
        <v>14</v>
      </c>
      <c r="K116" s="1">
        <v>-0.21595356998245377</v>
      </c>
    </row>
    <row r="117" ht="15.75" customHeight="1">
      <c r="A117" s="1" t="s">
        <v>230</v>
      </c>
      <c r="B117" s="1" t="s">
        <v>12</v>
      </c>
      <c r="C117" s="1" t="s">
        <v>231</v>
      </c>
      <c r="D117" s="1">
        <f t="shared" si="2"/>
        <v>1.025422313</v>
      </c>
      <c r="E117" s="1">
        <v>1.766004</v>
      </c>
      <c r="F117" s="1">
        <v>0.973785</v>
      </c>
      <c r="G117" s="1">
        <v>1.0</v>
      </c>
      <c r="H117" s="1">
        <v>0.3313</v>
      </c>
      <c r="I117" s="1">
        <v>0.4693</v>
      </c>
      <c r="J117" s="1" t="s">
        <v>14</v>
      </c>
      <c r="K117" s="1">
        <v>8.719646799116997</v>
      </c>
    </row>
    <row r="118" ht="15.75" customHeight="1">
      <c r="A118" s="1" t="s">
        <v>232</v>
      </c>
      <c r="B118" s="1" t="s">
        <v>24</v>
      </c>
      <c r="C118" s="1" t="s">
        <v>233</v>
      </c>
      <c r="D118" s="1">
        <f t="shared" si="2"/>
        <v>1.024975313</v>
      </c>
      <c r="E118" s="1">
        <v>0.0</v>
      </c>
      <c r="F118" s="1">
        <v>0.955971</v>
      </c>
      <c r="G118" s="1">
        <v>0.153171</v>
      </c>
      <c r="H118" s="1">
        <v>0.3487</v>
      </c>
      <c r="I118" s="1">
        <v>0.4321</v>
      </c>
      <c r="K118" s="1">
        <v>0.0</v>
      </c>
    </row>
    <row r="119" ht="15.75" customHeight="1">
      <c r="A119" s="1" t="s">
        <v>234</v>
      </c>
      <c r="B119" s="1" t="s">
        <v>36</v>
      </c>
      <c r="C119" s="1" t="s">
        <v>235</v>
      </c>
      <c r="D119" s="1">
        <f t="shared" si="2"/>
        <v>1.023872256</v>
      </c>
      <c r="E119" s="1">
        <v>4.850746</v>
      </c>
      <c r="F119" s="1">
        <v>0.899272</v>
      </c>
      <c r="G119" s="1">
        <v>1.0</v>
      </c>
      <c r="H119" s="1">
        <v>0.3622</v>
      </c>
      <c r="I119" s="1">
        <v>0.4321</v>
      </c>
      <c r="K119" s="1">
        <v>37.3134328358209</v>
      </c>
    </row>
    <row r="120" ht="15.75" customHeight="1">
      <c r="A120" s="1" t="s">
        <v>236</v>
      </c>
      <c r="B120" s="1" t="s">
        <v>21</v>
      </c>
      <c r="C120" s="1" t="s">
        <v>237</v>
      </c>
      <c r="D120" s="1">
        <f t="shared" si="2"/>
        <v>1.02191113</v>
      </c>
      <c r="E120" s="1">
        <v>10.596026</v>
      </c>
      <c r="F120" s="1">
        <v>0.934398</v>
      </c>
      <c r="G120" s="1">
        <v>1.0</v>
      </c>
      <c r="H120" s="1">
        <v>0.3493</v>
      </c>
      <c r="I120" s="1">
        <v>0.4321</v>
      </c>
      <c r="K120" s="1">
        <v>-2.980132450331126</v>
      </c>
    </row>
    <row r="121" ht="15.75" customHeight="1">
      <c r="A121" s="1" t="s">
        <v>238</v>
      </c>
      <c r="B121" s="1" t="s">
        <v>16</v>
      </c>
      <c r="C121" s="1" t="s">
        <v>239</v>
      </c>
      <c r="D121" s="1">
        <f t="shared" si="2"/>
        <v>1.021224568</v>
      </c>
      <c r="E121" s="1">
        <v>5.901639</v>
      </c>
      <c r="F121" s="1">
        <v>0.942953</v>
      </c>
      <c r="G121" s="1">
        <v>1.0</v>
      </c>
      <c r="H121" s="1">
        <v>0.3499</v>
      </c>
      <c r="I121" s="1">
        <v>0.4321</v>
      </c>
      <c r="K121" s="1">
        <v>-4.262295081967213</v>
      </c>
    </row>
    <row r="122" ht="15.75" customHeight="1">
      <c r="A122" s="1" t="s">
        <v>240</v>
      </c>
      <c r="B122" s="1" t="s">
        <v>49</v>
      </c>
      <c r="C122" s="1" t="s">
        <v>241</v>
      </c>
      <c r="D122" s="1">
        <f t="shared" si="2"/>
        <v>1.018141787</v>
      </c>
      <c r="E122" s="1">
        <v>3.194888</v>
      </c>
      <c r="F122" s="1">
        <v>0.963076</v>
      </c>
      <c r="G122" s="1">
        <v>1.0</v>
      </c>
      <c r="H122" s="1">
        <v>0.3515</v>
      </c>
      <c r="I122" s="1">
        <v>0.4321</v>
      </c>
      <c r="K122" s="1">
        <v>-2.236421725239617</v>
      </c>
    </row>
    <row r="123" ht="15.75" customHeight="1">
      <c r="A123" s="1" t="s">
        <v>242</v>
      </c>
      <c r="B123" s="1" t="s">
        <v>21</v>
      </c>
      <c r="C123" s="1" t="s">
        <v>243</v>
      </c>
      <c r="D123" s="1">
        <f t="shared" si="2"/>
        <v>1.016609518</v>
      </c>
      <c r="E123" s="1">
        <v>3.846154</v>
      </c>
      <c r="F123" s="1">
        <v>0.956897</v>
      </c>
      <c r="G123" s="1">
        <v>1.0</v>
      </c>
      <c r="H123" s="1">
        <v>0.3493</v>
      </c>
      <c r="I123" s="1">
        <v>0.4321</v>
      </c>
      <c r="K123" s="1">
        <v>-1.9230769230769231</v>
      </c>
    </row>
    <row r="124" ht="15.75" customHeight="1">
      <c r="A124" s="1" t="s">
        <v>244</v>
      </c>
      <c r="B124" s="1" t="s">
        <v>49</v>
      </c>
      <c r="C124" s="1" t="s">
        <v>245</v>
      </c>
      <c r="D124" s="1">
        <f t="shared" si="2"/>
        <v>1.01614477</v>
      </c>
      <c r="E124" s="1">
        <v>1.722788</v>
      </c>
      <c r="F124" s="1">
        <v>0.967983</v>
      </c>
      <c r="G124" s="1">
        <v>1.0</v>
      </c>
      <c r="H124" s="1">
        <v>0.3515</v>
      </c>
      <c r="I124" s="1">
        <v>0.4321</v>
      </c>
      <c r="K124" s="1">
        <v>5.090054815974941</v>
      </c>
    </row>
    <row r="125" ht="15.75" customHeight="1">
      <c r="A125" s="1" t="s">
        <v>246</v>
      </c>
      <c r="B125" s="1" t="s">
        <v>49</v>
      </c>
      <c r="C125" s="1" t="s">
        <v>247</v>
      </c>
      <c r="D125" s="1">
        <f t="shared" si="2"/>
        <v>1.014194309</v>
      </c>
      <c r="E125" s="1">
        <v>3.809524</v>
      </c>
      <c r="F125" s="1">
        <v>0.961027</v>
      </c>
      <c r="G125" s="1">
        <v>1.0</v>
      </c>
      <c r="H125" s="1">
        <v>0.3515</v>
      </c>
      <c r="I125" s="1">
        <v>0.4321</v>
      </c>
      <c r="K125" s="1">
        <v>-1.5873015873015872</v>
      </c>
    </row>
    <row r="126" ht="15.75" customHeight="1">
      <c r="A126" s="1" t="s">
        <v>248</v>
      </c>
      <c r="B126" s="1" t="s">
        <v>45</v>
      </c>
      <c r="C126" s="1" t="s">
        <v>249</v>
      </c>
      <c r="D126" s="1">
        <f t="shared" si="2"/>
        <v>1.010438589</v>
      </c>
      <c r="E126" s="1">
        <v>4.054054</v>
      </c>
      <c r="F126" s="1">
        <v>0.928393</v>
      </c>
      <c r="G126" s="1">
        <v>0.164839</v>
      </c>
      <c r="H126" s="1">
        <v>0.3552</v>
      </c>
      <c r="I126" s="1">
        <v>0.5969</v>
      </c>
      <c r="J126" s="1" t="s">
        <v>47</v>
      </c>
      <c r="K126" s="1">
        <v>1.1976047904191616</v>
      </c>
    </row>
    <row r="127" ht="15.75" customHeight="1">
      <c r="A127" s="1" t="s">
        <v>250</v>
      </c>
      <c r="B127" s="1" t="s">
        <v>49</v>
      </c>
      <c r="C127" s="1" t="s">
        <v>251</v>
      </c>
      <c r="D127" s="1">
        <f t="shared" si="2"/>
        <v>1.003914083</v>
      </c>
      <c r="E127" s="1">
        <v>0.0</v>
      </c>
      <c r="F127" s="1">
        <v>0.973726</v>
      </c>
      <c r="G127" s="1">
        <v>0.693446</v>
      </c>
      <c r="H127" s="1">
        <v>0.3515</v>
      </c>
      <c r="I127" s="1">
        <v>0.4321</v>
      </c>
      <c r="K127" s="1">
        <v>0.0</v>
      </c>
    </row>
    <row r="128" ht="15.75" customHeight="1">
      <c r="A128" s="1" t="s">
        <v>252</v>
      </c>
      <c r="B128" s="1" t="s">
        <v>24</v>
      </c>
      <c r="C128" s="1" t="s">
        <v>253</v>
      </c>
      <c r="D128" s="1">
        <f t="shared" si="2"/>
        <v>0.9987640648</v>
      </c>
      <c r="E128" s="1">
        <v>3.0</v>
      </c>
      <c r="F128" s="1">
        <v>0.945971</v>
      </c>
      <c r="G128" s="1">
        <v>0.572016</v>
      </c>
      <c r="H128" s="1">
        <v>0.3487</v>
      </c>
      <c r="I128" s="1">
        <v>0.4321</v>
      </c>
      <c r="K128" s="1">
        <v>0.8583690987124464</v>
      </c>
    </row>
    <row r="129" ht="15.75" customHeight="1">
      <c r="A129" s="1" t="s">
        <v>254</v>
      </c>
      <c r="B129" s="1" t="s">
        <v>49</v>
      </c>
      <c r="C129" s="1" t="s">
        <v>255</v>
      </c>
      <c r="D129" s="1">
        <f t="shared" si="2"/>
        <v>0.9969647201</v>
      </c>
      <c r="E129" s="1">
        <v>8.385093</v>
      </c>
      <c r="F129" s="1">
        <v>0.945775</v>
      </c>
      <c r="G129" s="1">
        <v>1.0</v>
      </c>
      <c r="H129" s="1">
        <v>0.3515</v>
      </c>
      <c r="I129" s="1">
        <v>0.4321</v>
      </c>
      <c r="K129" s="1">
        <v>-7.142857142857143</v>
      </c>
    </row>
    <row r="130" ht="15.75" customHeight="1">
      <c r="A130" s="1" t="s">
        <v>256</v>
      </c>
      <c r="B130" s="1" t="s">
        <v>87</v>
      </c>
      <c r="C130" s="1" t="s">
        <v>257</v>
      </c>
      <c r="D130" s="1">
        <f t="shared" si="2"/>
        <v>0.9966552578</v>
      </c>
      <c r="E130" s="1">
        <v>0.0</v>
      </c>
      <c r="F130" s="1">
        <v>0.88137</v>
      </c>
      <c r="G130" s="1">
        <v>0.693446</v>
      </c>
      <c r="H130" s="1">
        <v>0.329</v>
      </c>
      <c r="I130" s="1">
        <v>0.4321</v>
      </c>
      <c r="K130" s="1">
        <v>8.786610878661088</v>
      </c>
    </row>
    <row r="131" ht="15.75" customHeight="1">
      <c r="A131" s="1" t="s">
        <v>258</v>
      </c>
      <c r="B131" s="1" t="s">
        <v>21</v>
      </c>
      <c r="C131" s="1" t="s">
        <v>259</v>
      </c>
      <c r="D131" s="1">
        <f t="shared" si="2"/>
        <v>0.9958490361</v>
      </c>
      <c r="E131" s="1">
        <v>0.0</v>
      </c>
      <c r="F131" s="1">
        <v>0.969718</v>
      </c>
      <c r="G131" s="1">
        <v>0.693446</v>
      </c>
      <c r="H131" s="1">
        <v>0.3493</v>
      </c>
      <c r="I131" s="1">
        <v>0.4321</v>
      </c>
      <c r="K131" s="1">
        <v>0.0</v>
      </c>
    </row>
    <row r="132" ht="15.75" customHeight="1">
      <c r="A132" s="1" t="s">
        <v>260</v>
      </c>
      <c r="B132" s="1" t="s">
        <v>49</v>
      </c>
      <c r="C132" s="1" t="s">
        <v>261</v>
      </c>
      <c r="D132" s="1">
        <f t="shared" si="2"/>
        <v>0.9937141671</v>
      </c>
      <c r="E132" s="1">
        <v>4.268293</v>
      </c>
      <c r="F132" s="1">
        <v>0.959498</v>
      </c>
      <c r="G132" s="1">
        <v>1.0</v>
      </c>
      <c r="H132" s="1">
        <v>0.3515</v>
      </c>
      <c r="I132" s="1">
        <v>0.4321</v>
      </c>
      <c r="K132" s="1">
        <v>-1.524390243902439</v>
      </c>
    </row>
    <row r="133" ht="15.75" customHeight="1">
      <c r="A133" s="1" t="s">
        <v>262</v>
      </c>
      <c r="B133" s="1" t="s">
        <v>49</v>
      </c>
      <c r="C133" s="1" t="s">
        <v>263</v>
      </c>
      <c r="D133" s="1">
        <f t="shared" si="2"/>
        <v>0.9912981746</v>
      </c>
      <c r="E133" s="1">
        <v>0.600601</v>
      </c>
      <c r="F133" s="1">
        <v>0.971724</v>
      </c>
      <c r="G133" s="1">
        <v>1.0</v>
      </c>
      <c r="H133" s="1">
        <v>0.3515</v>
      </c>
      <c r="I133" s="1">
        <v>0.4321</v>
      </c>
      <c r="K133" s="1">
        <v>-3.003003003003003</v>
      </c>
    </row>
    <row r="134" ht="15.75" customHeight="1">
      <c r="A134" s="1" t="s">
        <v>264</v>
      </c>
      <c r="B134" s="1" t="s">
        <v>21</v>
      </c>
      <c r="C134" s="1" t="s">
        <v>265</v>
      </c>
      <c r="D134" s="1">
        <f t="shared" si="2"/>
        <v>0.9839480342</v>
      </c>
      <c r="E134" s="1">
        <v>5.421687</v>
      </c>
      <c r="F134" s="1">
        <v>0.951646</v>
      </c>
      <c r="G134" s="1">
        <v>1.0</v>
      </c>
      <c r="H134" s="1">
        <v>0.3493</v>
      </c>
      <c r="I134" s="1">
        <v>0.4321</v>
      </c>
      <c r="K134" s="1">
        <v>-3.9156626506024095</v>
      </c>
    </row>
    <row r="135" ht="15.75" customHeight="1">
      <c r="A135" s="1" t="s">
        <v>266</v>
      </c>
      <c r="B135" s="1" t="s">
        <v>49</v>
      </c>
      <c r="C135" s="1" t="s">
        <v>267</v>
      </c>
      <c r="D135" s="1">
        <f t="shared" si="2"/>
        <v>0.9832757422</v>
      </c>
      <c r="E135" s="1">
        <v>8.864266</v>
      </c>
      <c r="F135" s="1">
        <v>0.944178</v>
      </c>
      <c r="G135" s="1">
        <v>1.0</v>
      </c>
      <c r="H135" s="1">
        <v>0.3515</v>
      </c>
      <c r="I135" s="1">
        <v>0.4321</v>
      </c>
      <c r="K135" s="1">
        <v>1.9390581717451523</v>
      </c>
    </row>
    <row r="136" ht="15.75" customHeight="1">
      <c r="A136" s="1" t="s">
        <v>268</v>
      </c>
      <c r="B136" s="1" t="s">
        <v>49</v>
      </c>
      <c r="C136" s="1" t="s">
        <v>269</v>
      </c>
      <c r="D136" s="1">
        <f t="shared" si="2"/>
        <v>0.9794576975</v>
      </c>
      <c r="E136" s="1">
        <v>7.633588</v>
      </c>
      <c r="F136" s="1">
        <v>0.94828</v>
      </c>
      <c r="G136" s="1">
        <v>1.0</v>
      </c>
      <c r="H136" s="1">
        <v>0.3515</v>
      </c>
      <c r="I136" s="1">
        <v>0.4321</v>
      </c>
      <c r="K136" s="1">
        <v>6.106870229007634</v>
      </c>
    </row>
    <row r="137" ht="15.75" customHeight="1">
      <c r="A137" s="1" t="s">
        <v>270</v>
      </c>
      <c r="B137" s="1" t="s">
        <v>49</v>
      </c>
      <c r="C137" s="1" t="s">
        <v>271</v>
      </c>
      <c r="D137" s="1">
        <f t="shared" si="2"/>
        <v>0.9772834368</v>
      </c>
      <c r="E137" s="1">
        <v>2.941176</v>
      </c>
      <c r="F137" s="1">
        <v>0.963922</v>
      </c>
      <c r="G137" s="1">
        <v>1.0</v>
      </c>
      <c r="H137" s="1">
        <v>0.3515</v>
      </c>
      <c r="I137" s="1">
        <v>0.4321</v>
      </c>
      <c r="K137" s="1">
        <v>-4.117647058823529</v>
      </c>
    </row>
    <row r="138" ht="15.75" customHeight="1">
      <c r="A138" s="1" t="s">
        <v>272</v>
      </c>
      <c r="B138" s="1" t="s">
        <v>24</v>
      </c>
      <c r="C138" s="1" t="s">
        <v>273</v>
      </c>
      <c r="D138" s="1">
        <f t="shared" si="2"/>
        <v>0.9712224874</v>
      </c>
      <c r="E138" s="1">
        <v>2.57732</v>
      </c>
      <c r="F138" s="1">
        <v>0.94738</v>
      </c>
      <c r="G138" s="1">
        <v>1.0</v>
      </c>
      <c r="H138" s="1">
        <v>0.3487</v>
      </c>
      <c r="I138" s="1">
        <v>0.4321</v>
      </c>
      <c r="K138" s="1">
        <v>4.332129963898917</v>
      </c>
    </row>
    <row r="139" ht="15.75" customHeight="1">
      <c r="A139" s="1" t="s">
        <v>274</v>
      </c>
      <c r="B139" s="1" t="s">
        <v>24</v>
      </c>
      <c r="C139" s="1" t="s">
        <v>275</v>
      </c>
      <c r="D139" s="1">
        <f t="shared" si="2"/>
        <v>0.9695543199</v>
      </c>
      <c r="E139" s="1">
        <v>4.092072</v>
      </c>
      <c r="F139" s="1">
        <v>0.942331</v>
      </c>
      <c r="G139" s="1">
        <v>1.0</v>
      </c>
      <c r="H139" s="1">
        <v>0.3487</v>
      </c>
      <c r="I139" s="1">
        <v>0.4321</v>
      </c>
      <c r="K139" s="1">
        <v>4.859335038363171</v>
      </c>
    </row>
    <row r="140" ht="15.75" customHeight="1">
      <c r="A140" s="1" t="s">
        <v>276</v>
      </c>
      <c r="B140" s="1" t="s">
        <v>45</v>
      </c>
      <c r="C140" s="1" t="s">
        <v>277</v>
      </c>
      <c r="D140" s="1">
        <f t="shared" si="2"/>
        <v>0.9693228279</v>
      </c>
      <c r="E140" s="1">
        <v>1.104972</v>
      </c>
      <c r="F140" s="1">
        <v>0.938223</v>
      </c>
      <c r="G140" s="1">
        <v>1.0</v>
      </c>
      <c r="H140" s="1">
        <v>0.3552</v>
      </c>
      <c r="I140" s="1">
        <v>0.5969</v>
      </c>
      <c r="J140" s="1" t="s">
        <v>47</v>
      </c>
      <c r="K140" s="1">
        <v>-1.3812154696132597</v>
      </c>
    </row>
    <row r="141" ht="15.75" customHeight="1">
      <c r="A141" s="1" t="s">
        <v>278</v>
      </c>
      <c r="B141" s="1" t="s">
        <v>12</v>
      </c>
      <c r="C141" s="1" t="s">
        <v>279</v>
      </c>
      <c r="D141" s="1">
        <f t="shared" si="2"/>
        <v>0.9649350949</v>
      </c>
      <c r="E141" s="1">
        <v>2.380952</v>
      </c>
      <c r="F141" s="1">
        <v>0.971735</v>
      </c>
      <c r="G141" s="1">
        <v>1.0</v>
      </c>
      <c r="H141" s="1">
        <v>0.3313</v>
      </c>
      <c r="I141" s="1">
        <v>0.4693</v>
      </c>
      <c r="J141" s="1" t="s">
        <v>14</v>
      </c>
      <c r="K141" s="1">
        <v>12.585034013605442</v>
      </c>
    </row>
    <row r="142" ht="15.75" customHeight="1">
      <c r="A142" s="1" t="s">
        <v>280</v>
      </c>
      <c r="B142" s="1" t="s">
        <v>24</v>
      </c>
      <c r="C142" s="1" t="s">
        <v>281</v>
      </c>
      <c r="D142" s="1">
        <f t="shared" si="2"/>
        <v>0.9623651971</v>
      </c>
      <c r="E142" s="1">
        <v>4.166667</v>
      </c>
      <c r="F142" s="1">
        <v>0.942082</v>
      </c>
      <c r="G142" s="1">
        <v>0.08257</v>
      </c>
      <c r="H142" s="1">
        <v>0.3487</v>
      </c>
      <c r="I142" s="1">
        <v>0.4321</v>
      </c>
      <c r="K142" s="1">
        <v>0.0</v>
      </c>
    </row>
    <row r="143" ht="15.75" customHeight="1">
      <c r="A143" s="1" t="s">
        <v>282</v>
      </c>
      <c r="B143" s="1" t="s">
        <v>12</v>
      </c>
      <c r="C143" s="1" t="s">
        <v>283</v>
      </c>
      <c r="D143" s="1">
        <f t="shared" si="2"/>
        <v>0.9618025063</v>
      </c>
      <c r="E143" s="1">
        <v>0.0</v>
      </c>
      <c r="F143" s="1">
        <v>0.979671</v>
      </c>
      <c r="G143" s="1">
        <v>1.0</v>
      </c>
      <c r="H143" s="1">
        <v>0.3313</v>
      </c>
      <c r="I143" s="1">
        <v>0.4693</v>
      </c>
      <c r="J143" s="1" t="s">
        <v>14</v>
      </c>
      <c r="K143" s="1">
        <v>2.9940119760479043</v>
      </c>
    </row>
    <row r="144" ht="15.75" customHeight="1">
      <c r="A144" s="1" t="s">
        <v>284</v>
      </c>
      <c r="B144" s="1" t="s">
        <v>21</v>
      </c>
      <c r="C144" s="1" t="s">
        <v>285</v>
      </c>
      <c r="D144" s="1">
        <f t="shared" si="2"/>
        <v>0.9562796693</v>
      </c>
      <c r="E144" s="1">
        <v>4.558405</v>
      </c>
      <c r="F144" s="1">
        <v>0.954523</v>
      </c>
      <c r="G144" s="1">
        <v>1.0</v>
      </c>
      <c r="H144" s="1">
        <v>0.3493</v>
      </c>
      <c r="I144" s="1">
        <v>0.4321</v>
      </c>
      <c r="K144" s="1">
        <v>-2.849002849002849</v>
      </c>
    </row>
    <row r="145" ht="15.75" customHeight="1">
      <c r="A145" s="1" t="s">
        <v>286</v>
      </c>
      <c r="B145" s="1" t="s">
        <v>12</v>
      </c>
      <c r="C145" s="1" t="s">
        <v>287</v>
      </c>
      <c r="D145" s="1">
        <f t="shared" si="2"/>
        <v>0.9530913198</v>
      </c>
      <c r="E145" s="1">
        <v>0.738916</v>
      </c>
      <c r="F145" s="1">
        <v>0.977208</v>
      </c>
      <c r="G145" s="1">
        <v>1.0</v>
      </c>
      <c r="H145" s="1">
        <v>0.3313</v>
      </c>
      <c r="I145" s="1">
        <v>0.4693</v>
      </c>
      <c r="J145" s="1" t="s">
        <v>14</v>
      </c>
      <c r="K145" s="1">
        <v>2.70935960591133</v>
      </c>
    </row>
    <row r="146" ht="15.75" customHeight="1">
      <c r="A146" s="1" t="s">
        <v>288</v>
      </c>
      <c r="B146" s="1" t="s">
        <v>21</v>
      </c>
      <c r="C146" s="1" t="s">
        <v>289</v>
      </c>
      <c r="D146" s="1">
        <f t="shared" si="2"/>
        <v>0.9524131577</v>
      </c>
      <c r="E146" s="1">
        <v>5.333333</v>
      </c>
      <c r="F146" s="1">
        <v>0.95194</v>
      </c>
      <c r="G146" s="1">
        <v>0.222869</v>
      </c>
      <c r="H146" s="1">
        <v>0.3493</v>
      </c>
      <c r="I146" s="1">
        <v>0.4321</v>
      </c>
      <c r="K146" s="1">
        <v>-0.8176918788329307</v>
      </c>
    </row>
    <row r="147" ht="15.75" customHeight="1">
      <c r="A147" s="1" t="s">
        <v>290</v>
      </c>
      <c r="B147" s="1" t="s">
        <v>12</v>
      </c>
      <c r="C147" s="1" t="s">
        <v>291</v>
      </c>
      <c r="D147" s="1">
        <f t="shared" si="2"/>
        <v>0.9498195894</v>
      </c>
      <c r="E147" s="1">
        <v>3.34728</v>
      </c>
      <c r="F147" s="1">
        <v>0.968514</v>
      </c>
      <c r="G147" s="1">
        <v>1.0</v>
      </c>
      <c r="H147" s="1">
        <v>0.3313</v>
      </c>
      <c r="I147" s="1">
        <v>0.4693</v>
      </c>
      <c r="J147" s="1" t="s">
        <v>14</v>
      </c>
      <c r="K147" s="1">
        <v>7.391910739191074</v>
      </c>
    </row>
    <row r="148" ht="15.75" customHeight="1">
      <c r="A148" s="1" t="s">
        <v>292</v>
      </c>
      <c r="B148" s="1" t="s">
        <v>49</v>
      </c>
      <c r="C148" s="1" t="s">
        <v>85</v>
      </c>
      <c r="D148" s="1">
        <f t="shared" si="2"/>
        <v>0.9486475363</v>
      </c>
      <c r="E148" s="1">
        <v>1.098901</v>
      </c>
      <c r="F148" s="1">
        <v>0.970063</v>
      </c>
      <c r="G148" s="1">
        <v>0.325505</v>
      </c>
      <c r="H148" s="1">
        <v>0.3515</v>
      </c>
      <c r="I148" s="1">
        <v>0.4321</v>
      </c>
      <c r="K148" s="1">
        <v>-0.46073074038358514</v>
      </c>
    </row>
    <row r="149" ht="15.75" customHeight="1">
      <c r="A149" s="1" t="s">
        <v>293</v>
      </c>
      <c r="B149" s="1" t="s">
        <v>49</v>
      </c>
      <c r="C149" s="1" t="s">
        <v>294</v>
      </c>
      <c r="D149" s="1">
        <f t="shared" si="2"/>
        <v>0.9486343739</v>
      </c>
      <c r="E149" s="1">
        <v>8.974359</v>
      </c>
      <c r="F149" s="1">
        <v>0.943811</v>
      </c>
      <c r="G149" s="1">
        <v>0.26807</v>
      </c>
      <c r="H149" s="1">
        <v>0.3515</v>
      </c>
      <c r="I149" s="1">
        <v>0.4321</v>
      </c>
      <c r="K149" s="1">
        <v>-0.46073074038358514</v>
      </c>
    </row>
    <row r="150" ht="15.75" customHeight="1">
      <c r="A150" s="1" t="s">
        <v>295</v>
      </c>
      <c r="B150" s="1" t="s">
        <v>87</v>
      </c>
      <c r="C150" s="1" t="s">
        <v>296</v>
      </c>
      <c r="D150" s="1">
        <f t="shared" si="2"/>
        <v>0.9456393138</v>
      </c>
      <c r="E150" s="1">
        <v>0.0</v>
      </c>
      <c r="F150" s="1">
        <v>0.88137</v>
      </c>
      <c r="G150" s="1">
        <v>0.693446</v>
      </c>
      <c r="H150" s="1">
        <v>0.329</v>
      </c>
      <c r="I150" s="1">
        <v>0.4321</v>
      </c>
      <c r="K150" s="1">
        <v>0.6116852984602404</v>
      </c>
    </row>
    <row r="151" ht="15.75" customHeight="1">
      <c r="A151" s="1" t="s">
        <v>297</v>
      </c>
      <c r="B151" s="1" t="s">
        <v>36</v>
      </c>
      <c r="C151" s="1" t="s">
        <v>298</v>
      </c>
      <c r="D151" s="1">
        <f t="shared" si="2"/>
        <v>0.9456358527</v>
      </c>
      <c r="E151" s="1">
        <v>2.941176</v>
      </c>
      <c r="F151" s="1">
        <v>0.905638</v>
      </c>
      <c r="G151" s="1">
        <v>0.210732</v>
      </c>
      <c r="H151" s="1">
        <v>0.3622</v>
      </c>
      <c r="I151" s="1">
        <v>0.4321</v>
      </c>
      <c r="K151" s="1">
        <v>0.9982638888888888</v>
      </c>
    </row>
    <row r="152" ht="15.75" customHeight="1">
      <c r="A152" s="1" t="s">
        <v>299</v>
      </c>
      <c r="B152" s="1" t="s">
        <v>12</v>
      </c>
      <c r="C152" s="1" t="s">
        <v>300</v>
      </c>
      <c r="D152" s="1">
        <f t="shared" si="2"/>
        <v>0.9399614727</v>
      </c>
      <c r="E152" s="1">
        <v>10.42654</v>
      </c>
      <c r="F152" s="1">
        <v>0.944916</v>
      </c>
      <c r="G152" s="1">
        <v>0.325111</v>
      </c>
      <c r="H152" s="1">
        <v>0.3313</v>
      </c>
      <c r="I152" s="1">
        <v>0.4693</v>
      </c>
      <c r="J152" s="1" t="s">
        <v>14</v>
      </c>
      <c r="K152" s="1">
        <v>4.739336492890995</v>
      </c>
    </row>
    <row r="153" ht="15.75" customHeight="1">
      <c r="A153" s="1" t="s">
        <v>301</v>
      </c>
      <c r="B153" s="1" t="s">
        <v>16</v>
      </c>
      <c r="C153" s="1" t="s">
        <v>302</v>
      </c>
      <c r="D153" s="1">
        <f t="shared" si="2"/>
        <v>0.9392243103</v>
      </c>
      <c r="E153" s="1">
        <v>5.0</v>
      </c>
      <c r="F153" s="1">
        <v>0.945959</v>
      </c>
      <c r="G153" s="1">
        <v>1.0</v>
      </c>
      <c r="H153" s="1">
        <v>0.3499</v>
      </c>
      <c r="I153" s="1">
        <v>0.4321</v>
      </c>
      <c r="K153" s="1">
        <v>-7.222222222222222</v>
      </c>
    </row>
    <row r="154" ht="15.75" customHeight="1">
      <c r="A154" s="1" t="s">
        <v>303</v>
      </c>
      <c r="B154" s="1" t="s">
        <v>12</v>
      </c>
      <c r="C154" s="1" t="s">
        <v>304</v>
      </c>
      <c r="D154" s="1">
        <f t="shared" si="2"/>
        <v>0.9377056536</v>
      </c>
      <c r="E154" s="1">
        <v>1.135557</v>
      </c>
      <c r="F154" s="1">
        <v>0.975886</v>
      </c>
      <c r="G154" s="1">
        <v>1.0</v>
      </c>
      <c r="H154" s="1">
        <v>0.3313</v>
      </c>
      <c r="I154" s="1">
        <v>0.4693</v>
      </c>
      <c r="J154" s="1" t="s">
        <v>14</v>
      </c>
      <c r="K154" s="1">
        <v>1.6323633782824698</v>
      </c>
    </row>
    <row r="155" ht="15.75" customHeight="1">
      <c r="A155" s="1" t="s">
        <v>305</v>
      </c>
      <c r="B155" s="1" t="s">
        <v>21</v>
      </c>
      <c r="C155" s="1" t="s">
        <v>306</v>
      </c>
      <c r="D155" s="1">
        <f t="shared" si="2"/>
        <v>0.9367584849</v>
      </c>
      <c r="E155" s="1">
        <v>5.509642</v>
      </c>
      <c r="F155" s="1">
        <v>0.951353</v>
      </c>
      <c r="G155" s="1">
        <v>1.0</v>
      </c>
      <c r="H155" s="1">
        <v>0.3493</v>
      </c>
      <c r="I155" s="1">
        <v>0.4321</v>
      </c>
      <c r="K155" s="1">
        <v>-4.132231404958677</v>
      </c>
    </row>
    <row r="156" ht="15.75" customHeight="1">
      <c r="A156" s="1" t="s">
        <v>307</v>
      </c>
      <c r="B156" s="1" t="s">
        <v>21</v>
      </c>
      <c r="C156" s="1" t="s">
        <v>239</v>
      </c>
      <c r="D156" s="1">
        <f t="shared" si="2"/>
        <v>0.934428537</v>
      </c>
      <c r="E156" s="1">
        <v>0.0</v>
      </c>
      <c r="F156" s="1">
        <v>0.969718</v>
      </c>
      <c r="G156" s="1">
        <v>0.769045</v>
      </c>
      <c r="H156" s="1">
        <v>0.3493</v>
      </c>
      <c r="I156" s="1">
        <v>0.4321</v>
      </c>
      <c r="K156" s="1">
        <v>0.0</v>
      </c>
    </row>
    <row r="157" ht="15.75" customHeight="1">
      <c r="A157" s="1" t="s">
        <v>308</v>
      </c>
      <c r="B157" s="1" t="s">
        <v>24</v>
      </c>
      <c r="C157" s="1" t="s">
        <v>309</v>
      </c>
      <c r="D157" s="1">
        <f t="shared" si="2"/>
        <v>0.9333057918</v>
      </c>
      <c r="E157" s="1">
        <v>7.792208</v>
      </c>
      <c r="F157" s="1">
        <v>0.929997</v>
      </c>
      <c r="G157" s="1">
        <v>0.230094</v>
      </c>
      <c r="H157" s="1">
        <v>0.3487</v>
      </c>
      <c r="I157" s="1">
        <v>0.4321</v>
      </c>
      <c r="K157" s="1">
        <v>-2.479338842975207</v>
      </c>
    </row>
    <row r="158" ht="15.75" customHeight="1">
      <c r="A158" s="1" t="s">
        <v>310</v>
      </c>
      <c r="B158" s="1" t="s">
        <v>21</v>
      </c>
      <c r="C158" s="1" t="s">
        <v>311</v>
      </c>
      <c r="D158" s="1">
        <f t="shared" si="2"/>
        <v>0.9322203339</v>
      </c>
      <c r="E158" s="1">
        <v>4.359673</v>
      </c>
      <c r="F158" s="1">
        <v>0.955186</v>
      </c>
      <c r="G158" s="1">
        <v>1.0</v>
      </c>
      <c r="H158" s="1">
        <v>0.3493</v>
      </c>
      <c r="I158" s="1">
        <v>0.4321</v>
      </c>
      <c r="K158" s="1">
        <v>0.0</v>
      </c>
    </row>
    <row r="159" ht="15.75" customHeight="1">
      <c r="A159" s="1" t="s">
        <v>312</v>
      </c>
      <c r="B159" s="1" t="s">
        <v>49</v>
      </c>
      <c r="C159" s="1" t="s">
        <v>313</v>
      </c>
      <c r="D159" s="1">
        <f t="shared" si="2"/>
        <v>0.9320051014</v>
      </c>
      <c r="E159" s="1">
        <v>7.103825</v>
      </c>
      <c r="F159" s="1">
        <v>0.950046</v>
      </c>
      <c r="G159" s="1">
        <v>1.0</v>
      </c>
      <c r="H159" s="1">
        <v>0.3515</v>
      </c>
      <c r="I159" s="1">
        <v>0.4321</v>
      </c>
      <c r="K159" s="1">
        <v>-5.191256830601093</v>
      </c>
    </row>
    <row r="160" ht="15.75" customHeight="1">
      <c r="A160" s="1" t="s">
        <v>314</v>
      </c>
      <c r="B160" s="1" t="s">
        <v>12</v>
      </c>
      <c r="C160" s="1" t="s">
        <v>315</v>
      </c>
      <c r="D160" s="1">
        <f t="shared" si="2"/>
        <v>0.931900797</v>
      </c>
      <c r="E160" s="1">
        <v>19.259259</v>
      </c>
      <c r="F160" s="1">
        <v>0.915474</v>
      </c>
      <c r="G160" s="1">
        <v>0.0</v>
      </c>
      <c r="H160" s="1">
        <v>0.3313</v>
      </c>
      <c r="I160" s="1">
        <v>0.4693</v>
      </c>
      <c r="J160" s="1" t="s">
        <v>14</v>
      </c>
      <c r="K160" s="1">
        <v>-3.8333333333333335</v>
      </c>
    </row>
    <row r="161" ht="15.75" customHeight="1">
      <c r="A161" s="1" t="s">
        <v>316</v>
      </c>
      <c r="B161" s="1" t="s">
        <v>21</v>
      </c>
      <c r="C161" s="1" t="s">
        <v>317</v>
      </c>
      <c r="D161" s="1">
        <f t="shared" si="2"/>
        <v>0.9315672469</v>
      </c>
      <c r="E161" s="1">
        <v>7.123288</v>
      </c>
      <c r="F161" s="1">
        <v>0.945974</v>
      </c>
      <c r="G161" s="1">
        <v>1.0</v>
      </c>
      <c r="H161" s="1">
        <v>0.3493</v>
      </c>
      <c r="I161" s="1">
        <v>0.4321</v>
      </c>
      <c r="K161" s="1">
        <v>-2.4657534246575343</v>
      </c>
    </row>
    <row r="162" ht="15.75" customHeight="1">
      <c r="A162" s="1" t="s">
        <v>318</v>
      </c>
      <c r="B162" s="1" t="s">
        <v>12</v>
      </c>
      <c r="C162" s="1" t="s">
        <v>319</v>
      </c>
      <c r="D162" s="1">
        <f t="shared" si="2"/>
        <v>0.9313924531</v>
      </c>
      <c r="E162" s="1">
        <v>4.424779</v>
      </c>
      <c r="F162" s="1">
        <v>0.964922</v>
      </c>
      <c r="G162" s="1">
        <v>1.0</v>
      </c>
      <c r="H162" s="1">
        <v>0.3313</v>
      </c>
      <c r="I162" s="1">
        <v>0.4693</v>
      </c>
      <c r="J162" s="1" t="s">
        <v>14</v>
      </c>
      <c r="K162" s="1">
        <v>7.079646017699115</v>
      </c>
    </row>
    <row r="163" ht="15.75" customHeight="1">
      <c r="A163" s="1" t="s">
        <v>320</v>
      </c>
      <c r="B163" s="1" t="s">
        <v>45</v>
      </c>
      <c r="C163" s="1" t="s">
        <v>321</v>
      </c>
      <c r="D163" s="1">
        <f t="shared" si="2"/>
        <v>0.9300253232</v>
      </c>
      <c r="E163" s="1">
        <v>0.0</v>
      </c>
      <c r="F163" s="1">
        <v>0.941907</v>
      </c>
      <c r="G163" s="1">
        <v>0.693446</v>
      </c>
      <c r="H163" s="1">
        <v>0.3552</v>
      </c>
      <c r="I163" s="1">
        <v>0.5969</v>
      </c>
      <c r="J163" s="1" t="s">
        <v>47</v>
      </c>
      <c r="K163" s="1">
        <v>0.0</v>
      </c>
    </row>
    <row r="164" ht="15.75" customHeight="1">
      <c r="A164" s="1" t="s">
        <v>322</v>
      </c>
      <c r="B164" s="1" t="s">
        <v>49</v>
      </c>
      <c r="C164" s="1" t="s">
        <v>323</v>
      </c>
      <c r="D164" s="1">
        <f t="shared" si="2"/>
        <v>0.9285678536</v>
      </c>
      <c r="E164" s="1">
        <v>0.534759</v>
      </c>
      <c r="F164" s="1">
        <v>0.971943</v>
      </c>
      <c r="G164" s="1">
        <v>1.0</v>
      </c>
      <c r="H164" s="1">
        <v>0.3515</v>
      </c>
      <c r="I164" s="1">
        <v>0.4321</v>
      </c>
      <c r="K164" s="1">
        <v>-2.6737967914438503</v>
      </c>
    </row>
    <row r="165" ht="15.75" customHeight="1">
      <c r="A165" s="1" t="s">
        <v>324</v>
      </c>
      <c r="B165" s="1" t="s">
        <v>36</v>
      </c>
      <c r="C165" s="1" t="s">
        <v>325</v>
      </c>
      <c r="D165" s="1">
        <f t="shared" si="2"/>
        <v>0.9248050332</v>
      </c>
      <c r="E165" s="1">
        <v>5.095541</v>
      </c>
      <c r="F165" s="1">
        <v>0.898456</v>
      </c>
      <c r="G165" s="1">
        <v>0.245127</v>
      </c>
      <c r="H165" s="1">
        <v>0.3622</v>
      </c>
      <c r="I165" s="1">
        <v>0.4321</v>
      </c>
      <c r="K165" s="1">
        <v>0.9982638888888888</v>
      </c>
    </row>
    <row r="166" ht="15.75" customHeight="1">
      <c r="A166" s="1" t="s">
        <v>326</v>
      </c>
      <c r="B166" s="1" t="s">
        <v>21</v>
      </c>
      <c r="C166" s="1" t="s">
        <v>327</v>
      </c>
      <c r="D166" s="1">
        <f t="shared" si="2"/>
        <v>0.923764036</v>
      </c>
      <c r="E166" s="1">
        <v>0.0</v>
      </c>
      <c r="F166" s="1">
        <v>0.969718</v>
      </c>
      <c r="G166" s="1">
        <v>0.329245</v>
      </c>
      <c r="H166" s="1">
        <v>0.3493</v>
      </c>
      <c r="I166" s="1">
        <v>0.4321</v>
      </c>
      <c r="K166" s="1">
        <v>0.0</v>
      </c>
    </row>
    <row r="167" ht="15.75" customHeight="1">
      <c r="A167" s="1" t="s">
        <v>328</v>
      </c>
      <c r="B167" s="1" t="s">
        <v>49</v>
      </c>
      <c r="C167" s="1" t="s">
        <v>329</v>
      </c>
      <c r="D167" s="1">
        <f t="shared" si="2"/>
        <v>0.9232396982</v>
      </c>
      <c r="E167" s="1">
        <v>3.197158</v>
      </c>
      <c r="F167" s="1">
        <v>0.963068</v>
      </c>
      <c r="G167" s="1">
        <v>1.0</v>
      </c>
      <c r="H167" s="1">
        <v>0.3515</v>
      </c>
      <c r="I167" s="1">
        <v>0.4321</v>
      </c>
      <c r="K167" s="1">
        <v>2.841918294849023</v>
      </c>
    </row>
    <row r="168" ht="15.75" customHeight="1">
      <c r="A168" s="1" t="s">
        <v>330</v>
      </c>
      <c r="B168" s="1" t="s">
        <v>45</v>
      </c>
      <c r="C168" s="1" t="s">
        <v>331</v>
      </c>
      <c r="D168" s="1">
        <f t="shared" si="2"/>
        <v>0.9197740294</v>
      </c>
      <c r="E168" s="1">
        <v>11.295681</v>
      </c>
      <c r="F168" s="1">
        <v>0.904254</v>
      </c>
      <c r="G168" s="1">
        <v>0.57228</v>
      </c>
      <c r="H168" s="1">
        <v>0.3552</v>
      </c>
      <c r="I168" s="1">
        <v>0.5969</v>
      </c>
      <c r="J168" s="1" t="s">
        <v>47</v>
      </c>
      <c r="K168" s="1">
        <v>1.1976047904191616</v>
      </c>
    </row>
    <row r="169" ht="15.75" customHeight="1">
      <c r="A169" s="1" t="s">
        <v>332</v>
      </c>
      <c r="B169" s="1" t="s">
        <v>49</v>
      </c>
      <c r="C169" s="1" t="s">
        <v>333</v>
      </c>
      <c r="D169" s="1">
        <f t="shared" si="2"/>
        <v>0.9187332308</v>
      </c>
      <c r="E169" s="1">
        <v>5.714286</v>
      </c>
      <c r="F169" s="1">
        <v>0.954678</v>
      </c>
      <c r="G169" s="1">
        <v>0.1711</v>
      </c>
      <c r="H169" s="1">
        <v>0.3515</v>
      </c>
      <c r="I169" s="1">
        <v>0.4321</v>
      </c>
      <c r="K169" s="1">
        <v>-4.1551246537396125</v>
      </c>
    </row>
    <row r="170" ht="15.75" customHeight="1">
      <c r="A170" s="1" t="s">
        <v>334</v>
      </c>
      <c r="B170" s="1" t="s">
        <v>16</v>
      </c>
      <c r="C170" s="1" t="s">
        <v>335</v>
      </c>
      <c r="D170" s="1">
        <f t="shared" si="2"/>
        <v>0.9164415583</v>
      </c>
      <c r="E170" s="1">
        <v>3.855422</v>
      </c>
      <c r="F170" s="1">
        <v>0.949774</v>
      </c>
      <c r="G170" s="1">
        <v>1.0</v>
      </c>
      <c r="H170" s="1">
        <v>0.3499</v>
      </c>
      <c r="I170" s="1">
        <v>0.4321</v>
      </c>
      <c r="K170" s="1">
        <v>2.4096385542168677</v>
      </c>
    </row>
    <row r="171" ht="15.75" customHeight="1">
      <c r="A171" s="1" t="s">
        <v>336</v>
      </c>
      <c r="B171" s="1" t="s">
        <v>49</v>
      </c>
      <c r="C171" s="1" t="s">
        <v>337</v>
      </c>
      <c r="D171" s="1">
        <f t="shared" si="2"/>
        <v>0.9160460582</v>
      </c>
      <c r="E171" s="1">
        <v>4.221636</v>
      </c>
      <c r="F171" s="1">
        <v>0.959653</v>
      </c>
      <c r="G171" s="1">
        <v>1.0</v>
      </c>
      <c r="H171" s="1">
        <v>0.3515</v>
      </c>
      <c r="I171" s="1">
        <v>0.4321</v>
      </c>
      <c r="K171" s="1">
        <v>-3.430079155672823</v>
      </c>
    </row>
    <row r="172" ht="15.75" customHeight="1">
      <c r="A172" s="1" t="s">
        <v>338</v>
      </c>
      <c r="B172" s="1" t="s">
        <v>49</v>
      </c>
      <c r="C172" s="1" t="s">
        <v>339</v>
      </c>
      <c r="D172" s="1">
        <f t="shared" si="2"/>
        <v>0.9155107797</v>
      </c>
      <c r="E172" s="1">
        <v>1.399825</v>
      </c>
      <c r="F172" s="1">
        <v>0.969059</v>
      </c>
      <c r="G172" s="1">
        <v>1.0</v>
      </c>
      <c r="H172" s="1">
        <v>0.3515</v>
      </c>
      <c r="I172" s="1">
        <v>0.4321</v>
      </c>
      <c r="K172" s="1">
        <v>2.4496937882764653</v>
      </c>
    </row>
    <row r="173" ht="15.75" customHeight="1">
      <c r="A173" s="1" t="s">
        <v>340</v>
      </c>
      <c r="B173" s="1" t="s">
        <v>12</v>
      </c>
      <c r="C173" s="1" t="s">
        <v>341</v>
      </c>
      <c r="D173" s="1">
        <f t="shared" si="2"/>
        <v>0.911709598</v>
      </c>
      <c r="E173" s="1">
        <v>1.461134</v>
      </c>
      <c r="F173" s="1">
        <v>0.974801</v>
      </c>
      <c r="G173" s="1">
        <v>1.0</v>
      </c>
      <c r="H173" s="1">
        <v>0.3313</v>
      </c>
      <c r="I173" s="1">
        <v>0.4693</v>
      </c>
      <c r="J173" s="1" t="s">
        <v>14</v>
      </c>
      <c r="K173" s="1">
        <v>0.8182349503214494</v>
      </c>
    </row>
    <row r="174" ht="15.75" customHeight="1">
      <c r="A174" s="1" t="s">
        <v>342</v>
      </c>
      <c r="B174" s="1" t="s">
        <v>24</v>
      </c>
      <c r="C174" s="1" t="s">
        <v>343</v>
      </c>
      <c r="D174" s="1">
        <f t="shared" si="2"/>
        <v>0.911019132</v>
      </c>
      <c r="E174" s="1">
        <v>0.0</v>
      </c>
      <c r="F174" s="1">
        <v>0.955971</v>
      </c>
      <c r="G174" s="1">
        <v>0.041919</v>
      </c>
      <c r="H174" s="1">
        <v>0.3487</v>
      </c>
      <c r="I174" s="1">
        <v>0.4321</v>
      </c>
      <c r="K174" s="1">
        <v>0.0</v>
      </c>
    </row>
    <row r="175" ht="15.75" customHeight="1">
      <c r="A175" s="1" t="s">
        <v>344</v>
      </c>
      <c r="B175" s="1" t="s">
        <v>16</v>
      </c>
      <c r="C175" s="1" t="s">
        <v>345</v>
      </c>
      <c r="D175" s="1">
        <f t="shared" si="2"/>
        <v>0.9092689778</v>
      </c>
      <c r="E175" s="1">
        <v>4.736842</v>
      </c>
      <c r="F175" s="1">
        <v>0.946836</v>
      </c>
      <c r="G175" s="1">
        <v>1.0</v>
      </c>
      <c r="H175" s="1">
        <v>0.3499</v>
      </c>
      <c r="I175" s="1">
        <v>0.4321</v>
      </c>
      <c r="K175" s="1">
        <v>-2.1052631578947367</v>
      </c>
    </row>
    <row r="176" ht="15.75" customHeight="1">
      <c r="A176" s="1" t="s">
        <v>346</v>
      </c>
      <c r="B176" s="1" t="s">
        <v>45</v>
      </c>
      <c r="C176" s="1" t="s">
        <v>347</v>
      </c>
      <c r="D176" s="1">
        <f t="shared" si="2"/>
        <v>0.9091000307</v>
      </c>
      <c r="E176" s="1">
        <v>6.571429</v>
      </c>
      <c r="F176" s="1">
        <v>0.920002</v>
      </c>
      <c r="G176" s="1">
        <v>1.0</v>
      </c>
      <c r="H176" s="1">
        <v>0.3552</v>
      </c>
      <c r="I176" s="1">
        <v>0.5969</v>
      </c>
      <c r="J176" s="1" t="s">
        <v>47</v>
      </c>
      <c r="K176" s="1">
        <v>2.5714285714285716</v>
      </c>
    </row>
    <row r="177" ht="15.75" customHeight="1">
      <c r="A177" s="1" t="s">
        <v>348</v>
      </c>
      <c r="B177" s="1" t="s">
        <v>36</v>
      </c>
      <c r="C177" s="1" t="s">
        <v>349</v>
      </c>
      <c r="D177" s="1">
        <f t="shared" si="2"/>
        <v>0.908178015</v>
      </c>
      <c r="E177" s="1">
        <v>1.149425</v>
      </c>
      <c r="F177" s="1">
        <v>0.91161</v>
      </c>
      <c r="G177" s="1">
        <v>0.197984</v>
      </c>
      <c r="H177" s="1">
        <v>0.3622</v>
      </c>
      <c r="I177" s="1">
        <v>0.4321</v>
      </c>
      <c r="K177" s="1">
        <v>0.9982638888888888</v>
      </c>
    </row>
    <row r="178" ht="15.75" customHeight="1">
      <c r="A178" s="1" t="s">
        <v>350</v>
      </c>
      <c r="B178" s="1" t="s">
        <v>16</v>
      </c>
      <c r="C178" s="1" t="s">
        <v>351</v>
      </c>
      <c r="D178" s="1">
        <f t="shared" si="2"/>
        <v>0.9077444266</v>
      </c>
      <c r="E178" s="1">
        <v>2.162162</v>
      </c>
      <c r="F178" s="1">
        <v>0.955418</v>
      </c>
      <c r="G178" s="1">
        <v>0.149647</v>
      </c>
      <c r="H178" s="1">
        <v>0.3499</v>
      </c>
      <c r="I178" s="1">
        <v>0.4321</v>
      </c>
      <c r="K178" s="1">
        <v>0.0488997555012225</v>
      </c>
    </row>
    <row r="179" ht="15.75" customHeight="1">
      <c r="A179" s="1" t="s">
        <v>352</v>
      </c>
      <c r="B179" s="1" t="s">
        <v>12</v>
      </c>
      <c r="C179" s="1" t="s">
        <v>353</v>
      </c>
      <c r="D179" s="1">
        <f t="shared" si="2"/>
        <v>0.9074692832</v>
      </c>
      <c r="E179" s="1">
        <v>6.315789</v>
      </c>
      <c r="F179" s="1">
        <v>0.958619</v>
      </c>
      <c r="G179" s="1">
        <v>0.135263</v>
      </c>
      <c r="H179" s="1">
        <v>0.3313</v>
      </c>
      <c r="I179" s="1">
        <v>0.4693</v>
      </c>
      <c r="J179" s="1" t="s">
        <v>14</v>
      </c>
      <c r="K179" s="1">
        <v>-0.21595356998245377</v>
      </c>
    </row>
    <row r="180" ht="15.75" customHeight="1">
      <c r="A180" s="1" t="s">
        <v>354</v>
      </c>
      <c r="B180" s="1" t="s">
        <v>111</v>
      </c>
      <c r="C180" s="1" t="s">
        <v>355</v>
      </c>
      <c r="D180" s="1">
        <f t="shared" si="2"/>
        <v>0.9051019312</v>
      </c>
      <c r="E180" s="1">
        <v>3.478261</v>
      </c>
      <c r="F180" s="1">
        <v>0.965716</v>
      </c>
      <c r="G180" s="1">
        <v>1.0</v>
      </c>
      <c r="H180" s="1">
        <v>0.3322</v>
      </c>
      <c r="I180" s="1">
        <v>0.2302</v>
      </c>
      <c r="J180" s="1" t="s">
        <v>112</v>
      </c>
      <c r="K180" s="1">
        <v>30.434782608695652</v>
      </c>
    </row>
    <row r="181" ht="15.75" customHeight="1">
      <c r="A181" s="1" t="s">
        <v>356</v>
      </c>
      <c r="B181" s="1" t="s">
        <v>49</v>
      </c>
      <c r="C181" s="1" t="s">
        <v>216</v>
      </c>
      <c r="D181" s="1">
        <f t="shared" si="2"/>
        <v>0.8995520534</v>
      </c>
      <c r="E181" s="1">
        <v>0.0</v>
      </c>
      <c r="F181" s="1">
        <v>0.973726</v>
      </c>
      <c r="G181" s="1">
        <v>0.626906</v>
      </c>
      <c r="H181" s="1">
        <v>0.3515</v>
      </c>
      <c r="I181" s="1">
        <v>0.4321</v>
      </c>
      <c r="K181" s="1">
        <v>0.0</v>
      </c>
    </row>
    <row r="182" ht="15.75" customHeight="1">
      <c r="A182" s="1" t="s">
        <v>357</v>
      </c>
      <c r="B182" s="1" t="s">
        <v>36</v>
      </c>
      <c r="C182" s="1" t="s">
        <v>358</v>
      </c>
      <c r="D182" s="1">
        <f t="shared" si="2"/>
        <v>0.8994010485</v>
      </c>
      <c r="E182" s="1">
        <v>7.894737</v>
      </c>
      <c r="F182" s="1">
        <v>0.889126</v>
      </c>
      <c r="G182" s="1">
        <v>0.0</v>
      </c>
      <c r="H182" s="1">
        <v>0.3622</v>
      </c>
      <c r="I182" s="1">
        <v>0.4321</v>
      </c>
      <c r="K182" s="1">
        <v>0.9982638888888888</v>
      </c>
    </row>
    <row r="183" ht="15.75" customHeight="1">
      <c r="A183" s="1" t="s">
        <v>359</v>
      </c>
      <c r="B183" s="1" t="s">
        <v>49</v>
      </c>
      <c r="C183" s="1" t="s">
        <v>140</v>
      </c>
      <c r="D183" s="1">
        <f t="shared" si="2"/>
        <v>0.8983881132</v>
      </c>
      <c r="E183" s="1">
        <v>1.793722</v>
      </c>
      <c r="F183" s="1">
        <v>0.967746</v>
      </c>
      <c r="G183" s="1">
        <v>0.25134</v>
      </c>
      <c r="H183" s="1">
        <v>0.3515</v>
      </c>
      <c r="I183" s="1">
        <v>0.4321</v>
      </c>
      <c r="K183" s="1">
        <v>0.8227848101265823</v>
      </c>
    </row>
    <row r="184" ht="15.75" customHeight="1">
      <c r="A184" s="1" t="s">
        <v>360</v>
      </c>
      <c r="B184" s="1" t="s">
        <v>49</v>
      </c>
      <c r="C184" s="1" t="s">
        <v>160</v>
      </c>
      <c r="D184" s="1">
        <f t="shared" si="2"/>
        <v>0.8944279879</v>
      </c>
      <c r="E184" s="1">
        <v>0.0</v>
      </c>
      <c r="F184" s="1">
        <v>0.973726</v>
      </c>
      <c r="G184" s="1">
        <v>0.187137</v>
      </c>
      <c r="H184" s="1">
        <v>0.3515</v>
      </c>
      <c r="I184" s="1">
        <v>0.4321</v>
      </c>
      <c r="K184" s="1">
        <v>0.43795620437956206</v>
      </c>
    </row>
    <row r="185" ht="15.75" customHeight="1">
      <c r="A185" s="1" t="s">
        <v>361</v>
      </c>
      <c r="B185" s="1" t="s">
        <v>49</v>
      </c>
      <c r="C185" s="1" t="s">
        <v>362</v>
      </c>
      <c r="D185" s="1">
        <f t="shared" si="2"/>
        <v>0.8932331466</v>
      </c>
      <c r="E185" s="1">
        <v>4.705882</v>
      </c>
      <c r="F185" s="1">
        <v>0.958039</v>
      </c>
      <c r="G185" s="1">
        <v>0.418379</v>
      </c>
      <c r="H185" s="1">
        <v>0.3515</v>
      </c>
      <c r="I185" s="1">
        <v>0.4321</v>
      </c>
      <c r="K185" s="1">
        <v>0.8227848101265823</v>
      </c>
    </row>
    <row r="186" ht="15.75" customHeight="1">
      <c r="A186" s="1" t="s">
        <v>363</v>
      </c>
      <c r="B186" s="1" t="s">
        <v>49</v>
      </c>
      <c r="C186" s="1" t="s">
        <v>364</v>
      </c>
      <c r="D186" s="1">
        <f t="shared" si="2"/>
        <v>0.8924786192</v>
      </c>
      <c r="E186" s="1">
        <v>0.0</v>
      </c>
      <c r="F186" s="1">
        <v>0.973726</v>
      </c>
      <c r="G186" s="1">
        <v>1.0</v>
      </c>
      <c r="H186" s="1">
        <v>0.3515</v>
      </c>
      <c r="I186" s="1">
        <v>0.4321</v>
      </c>
      <c r="K186" s="1">
        <v>0.0</v>
      </c>
    </row>
    <row r="187" ht="15.75" customHeight="1">
      <c r="A187" s="1" t="s">
        <v>365</v>
      </c>
      <c r="B187" s="1" t="s">
        <v>16</v>
      </c>
      <c r="C187" s="1" t="s">
        <v>275</v>
      </c>
      <c r="D187" s="1">
        <f t="shared" si="2"/>
        <v>0.8914636084</v>
      </c>
      <c r="E187" s="1">
        <v>5.626598</v>
      </c>
      <c r="F187" s="1">
        <v>0.94387</v>
      </c>
      <c r="G187" s="1">
        <v>1.0</v>
      </c>
      <c r="H187" s="1">
        <v>0.3499</v>
      </c>
      <c r="I187" s="1">
        <v>0.4321</v>
      </c>
      <c r="K187" s="1">
        <v>0.0</v>
      </c>
    </row>
    <row r="188" ht="15.75" customHeight="1">
      <c r="A188" s="1" t="s">
        <v>366</v>
      </c>
      <c r="B188" s="1" t="s">
        <v>21</v>
      </c>
      <c r="C188" s="1" t="s">
        <v>367</v>
      </c>
      <c r="D188" s="1">
        <f t="shared" si="2"/>
        <v>0.8909094522</v>
      </c>
      <c r="E188" s="1">
        <v>2.863688</v>
      </c>
      <c r="F188" s="1">
        <v>0.960172</v>
      </c>
      <c r="G188" s="1">
        <v>1.0</v>
      </c>
      <c r="H188" s="1">
        <v>0.3493</v>
      </c>
      <c r="I188" s="1">
        <v>0.4321</v>
      </c>
      <c r="K188" s="1">
        <v>3.207331042382589</v>
      </c>
    </row>
    <row r="189" ht="15.75" customHeight="1">
      <c r="A189" s="1" t="s">
        <v>368</v>
      </c>
      <c r="B189" s="1" t="s">
        <v>24</v>
      </c>
      <c r="C189" s="1" t="s">
        <v>130</v>
      </c>
      <c r="D189" s="1">
        <f t="shared" si="2"/>
        <v>0.88864845</v>
      </c>
      <c r="E189" s="1">
        <v>0.0</v>
      </c>
      <c r="F189" s="1">
        <v>0.955971</v>
      </c>
      <c r="G189" s="1">
        <v>0.271607</v>
      </c>
      <c r="H189" s="1">
        <v>0.3487</v>
      </c>
      <c r="I189" s="1">
        <v>0.4321</v>
      </c>
      <c r="K189" s="1">
        <v>0.0</v>
      </c>
    </row>
    <row r="190" ht="15.75" customHeight="1">
      <c r="A190" s="1" t="s">
        <v>369</v>
      </c>
      <c r="B190" s="1" t="s">
        <v>16</v>
      </c>
      <c r="C190" s="1" t="s">
        <v>130</v>
      </c>
      <c r="D190" s="1">
        <f t="shared" si="2"/>
        <v>0.8886056384</v>
      </c>
      <c r="E190" s="1">
        <v>0.0</v>
      </c>
      <c r="F190" s="1">
        <v>0.962626</v>
      </c>
      <c r="G190" s="1">
        <v>0.224388</v>
      </c>
      <c r="H190" s="1">
        <v>0.3499</v>
      </c>
      <c r="I190" s="1">
        <v>0.4321</v>
      </c>
      <c r="K190" s="1">
        <v>0.0488997555012225</v>
      </c>
    </row>
    <row r="191" ht="15.75" customHeight="1">
      <c r="A191" s="1" t="s">
        <v>370</v>
      </c>
      <c r="B191" s="1" t="s">
        <v>16</v>
      </c>
      <c r="C191" s="1" t="s">
        <v>371</v>
      </c>
      <c r="D191" s="1">
        <f t="shared" si="2"/>
        <v>0.8871950039</v>
      </c>
      <c r="E191" s="1">
        <v>0.0</v>
      </c>
      <c r="F191" s="1">
        <v>0.962626</v>
      </c>
      <c r="G191" s="1">
        <v>1.0</v>
      </c>
      <c r="H191" s="1">
        <v>0.3499</v>
      </c>
      <c r="I191" s="1">
        <v>0.4321</v>
      </c>
      <c r="K191" s="1">
        <v>0.7142857142857143</v>
      </c>
    </row>
    <row r="192" ht="15.75" customHeight="1">
      <c r="A192" s="1" t="s">
        <v>372</v>
      </c>
      <c r="B192" s="1" t="s">
        <v>49</v>
      </c>
      <c r="C192" s="1" t="s">
        <v>364</v>
      </c>
      <c r="D192" s="1">
        <f t="shared" si="2"/>
        <v>0.8860652684</v>
      </c>
      <c r="E192" s="1">
        <v>5.025126</v>
      </c>
      <c r="F192" s="1">
        <v>0.956975</v>
      </c>
      <c r="G192" s="1">
        <v>1.0</v>
      </c>
      <c r="H192" s="1">
        <v>0.3515</v>
      </c>
      <c r="I192" s="1">
        <v>0.4321</v>
      </c>
      <c r="K192" s="1">
        <v>-1.5075376884422111</v>
      </c>
    </row>
    <row r="193" ht="15.75" customHeight="1">
      <c r="A193" s="1" t="s">
        <v>373</v>
      </c>
      <c r="B193" s="1" t="s">
        <v>16</v>
      </c>
      <c r="C193" s="1" t="s">
        <v>374</v>
      </c>
      <c r="D193" s="1">
        <f t="shared" si="2"/>
        <v>0.8829254698</v>
      </c>
      <c r="E193" s="1">
        <v>2.666667</v>
      </c>
      <c r="F193" s="1">
        <v>0.953737</v>
      </c>
      <c r="G193" s="1">
        <v>1.0</v>
      </c>
      <c r="H193" s="1">
        <v>0.3499</v>
      </c>
      <c r="I193" s="1">
        <v>0.4321</v>
      </c>
      <c r="K193" s="1">
        <v>8.19047619047619</v>
      </c>
    </row>
    <row r="194" ht="15.75" customHeight="1">
      <c r="A194" s="1" t="s">
        <v>375</v>
      </c>
      <c r="B194" s="1" t="s">
        <v>111</v>
      </c>
      <c r="C194" s="1" t="s">
        <v>376</v>
      </c>
      <c r="D194" s="1">
        <f t="shared" si="2"/>
        <v>0.8827084399</v>
      </c>
      <c r="E194" s="1">
        <v>6.516291</v>
      </c>
      <c r="F194" s="1">
        <v>0.955589</v>
      </c>
      <c r="G194" s="1">
        <v>1.0</v>
      </c>
      <c r="H194" s="1">
        <v>0.3322</v>
      </c>
      <c r="I194" s="1">
        <v>0.2302</v>
      </c>
      <c r="J194" s="1" t="s">
        <v>112</v>
      </c>
      <c r="K194" s="1">
        <v>2.255639097744361</v>
      </c>
    </row>
    <row r="195" ht="15.75" customHeight="1">
      <c r="A195" s="1" t="s">
        <v>377</v>
      </c>
      <c r="B195" s="1" t="s">
        <v>21</v>
      </c>
      <c r="C195" s="1" t="s">
        <v>378</v>
      </c>
      <c r="D195" s="1">
        <f t="shared" si="2"/>
        <v>0.8812583716</v>
      </c>
      <c r="E195" s="1">
        <v>7.5</v>
      </c>
      <c r="F195" s="1">
        <v>0.944718</v>
      </c>
      <c r="G195" s="1">
        <v>0.349535</v>
      </c>
      <c r="H195" s="1">
        <v>0.3493</v>
      </c>
      <c r="I195" s="1">
        <v>0.4321</v>
      </c>
      <c r="K195" s="1">
        <v>0.5465547530743705</v>
      </c>
    </row>
    <row r="196" ht="15.75" customHeight="1">
      <c r="A196" s="1" t="s">
        <v>379</v>
      </c>
      <c r="B196" s="1" t="s">
        <v>24</v>
      </c>
      <c r="C196" s="1" t="s">
        <v>380</v>
      </c>
      <c r="D196" s="1">
        <f t="shared" si="2"/>
        <v>0.8765513666</v>
      </c>
      <c r="E196" s="1">
        <v>3.827751</v>
      </c>
      <c r="F196" s="1">
        <v>0.943212</v>
      </c>
      <c r="G196" s="1">
        <v>0.208351</v>
      </c>
      <c r="H196" s="1">
        <v>0.3487</v>
      </c>
      <c r="I196" s="1">
        <v>0.4321</v>
      </c>
      <c r="K196" s="1">
        <v>-2.479338842975207</v>
      </c>
    </row>
    <row r="197" ht="15.75" customHeight="1">
      <c r="A197" s="1" t="s">
        <v>381</v>
      </c>
      <c r="B197" s="1" t="s">
        <v>24</v>
      </c>
      <c r="C197" s="1" t="s">
        <v>382</v>
      </c>
      <c r="D197" s="1">
        <f t="shared" si="2"/>
        <v>0.8697619622</v>
      </c>
      <c r="E197" s="1">
        <v>6.584362</v>
      </c>
      <c r="F197" s="1">
        <v>0.934023</v>
      </c>
      <c r="G197" s="1">
        <v>0.365861</v>
      </c>
      <c r="H197" s="1">
        <v>0.3487</v>
      </c>
      <c r="I197" s="1">
        <v>0.4321</v>
      </c>
      <c r="K197" s="1">
        <v>0.19102196752626552</v>
      </c>
    </row>
    <row r="198" ht="15.75" customHeight="1">
      <c r="A198" s="1" t="s">
        <v>383</v>
      </c>
      <c r="B198" s="1" t="s">
        <v>21</v>
      </c>
      <c r="C198" s="1" t="s">
        <v>384</v>
      </c>
      <c r="D198" s="1">
        <f t="shared" si="2"/>
        <v>0.8682972622</v>
      </c>
      <c r="E198" s="1">
        <v>4.400978</v>
      </c>
      <c r="F198" s="1">
        <v>0.955048</v>
      </c>
      <c r="G198" s="1">
        <v>1.0</v>
      </c>
      <c r="H198" s="1">
        <v>0.3493</v>
      </c>
      <c r="I198" s="1">
        <v>0.4321</v>
      </c>
      <c r="K198" s="1">
        <v>-1.7114914425427872</v>
      </c>
    </row>
    <row r="199" ht="15.75" customHeight="1">
      <c r="A199" s="1" t="s">
        <v>385</v>
      </c>
      <c r="B199" s="1" t="s">
        <v>45</v>
      </c>
      <c r="C199" s="1" t="s">
        <v>386</v>
      </c>
      <c r="D199" s="1">
        <f t="shared" si="2"/>
        <v>0.8677569988</v>
      </c>
      <c r="E199" s="1">
        <v>8.602151</v>
      </c>
      <c r="F199" s="1">
        <v>0.913233</v>
      </c>
      <c r="G199" s="1">
        <v>0.231672</v>
      </c>
      <c r="H199" s="1">
        <v>0.3552</v>
      </c>
      <c r="I199" s="1">
        <v>0.5969</v>
      </c>
      <c r="J199" s="1" t="s">
        <v>47</v>
      </c>
      <c r="K199" s="1">
        <v>1.1976047904191616</v>
      </c>
    </row>
    <row r="200" ht="15.75" customHeight="1">
      <c r="A200" s="1" t="s">
        <v>387</v>
      </c>
      <c r="B200" s="1" t="s">
        <v>45</v>
      </c>
      <c r="C200" s="1" t="s">
        <v>388</v>
      </c>
      <c r="D200" s="1">
        <f t="shared" si="2"/>
        <v>0.8660860513</v>
      </c>
      <c r="E200" s="1">
        <v>6.153846</v>
      </c>
      <c r="F200" s="1">
        <v>0.921394</v>
      </c>
      <c r="G200" s="1">
        <v>1.0</v>
      </c>
      <c r="H200" s="1">
        <v>0.3552</v>
      </c>
      <c r="I200" s="1">
        <v>0.5969</v>
      </c>
      <c r="J200" s="1" t="s">
        <v>47</v>
      </c>
      <c r="K200" s="1">
        <v>0.6593406593406593</v>
      </c>
    </row>
    <row r="201" ht="15.75" customHeight="1">
      <c r="A201" s="1" t="s">
        <v>389</v>
      </c>
      <c r="B201" s="1" t="s">
        <v>49</v>
      </c>
      <c r="C201" s="1" t="s">
        <v>384</v>
      </c>
      <c r="D201" s="1">
        <f t="shared" si="2"/>
        <v>0.8658419753</v>
      </c>
      <c r="E201" s="1">
        <v>7.823961</v>
      </c>
      <c r="F201" s="1">
        <v>0.947646</v>
      </c>
      <c r="G201" s="1">
        <v>1.0</v>
      </c>
      <c r="H201" s="1">
        <v>0.3515</v>
      </c>
      <c r="I201" s="1">
        <v>0.4321</v>
      </c>
      <c r="K201" s="1">
        <v>-4.1551246537396125</v>
      </c>
    </row>
    <row r="202" ht="15.75" customHeight="1">
      <c r="A202" s="1" t="s">
        <v>390</v>
      </c>
      <c r="B202" s="1" t="s">
        <v>24</v>
      </c>
      <c r="C202" s="1" t="s">
        <v>265</v>
      </c>
      <c r="D202" s="1">
        <f t="shared" si="2"/>
        <v>0.8629042947</v>
      </c>
      <c r="E202" s="1">
        <v>0.0</v>
      </c>
      <c r="F202" s="1">
        <v>0.955971</v>
      </c>
      <c r="G202" s="1">
        <v>0.693446</v>
      </c>
      <c r="H202" s="1">
        <v>0.3487</v>
      </c>
      <c r="I202" s="1">
        <v>0.4321</v>
      </c>
      <c r="K202" s="1">
        <v>0.0</v>
      </c>
    </row>
    <row r="203" ht="15.75" customHeight="1">
      <c r="A203" s="1" t="s">
        <v>391</v>
      </c>
      <c r="B203" s="1" t="s">
        <v>16</v>
      </c>
      <c r="C203" s="1" t="s">
        <v>362</v>
      </c>
      <c r="D203" s="1">
        <f t="shared" si="2"/>
        <v>0.8583143537</v>
      </c>
      <c r="E203" s="1">
        <v>7.843137</v>
      </c>
      <c r="F203" s="1">
        <v>0.936482</v>
      </c>
      <c r="G203" s="1">
        <v>0.383871</v>
      </c>
      <c r="H203" s="1">
        <v>0.3499</v>
      </c>
      <c r="I203" s="1">
        <v>0.4321</v>
      </c>
      <c r="K203" s="1">
        <v>0.0488997555012225</v>
      </c>
    </row>
    <row r="204" ht="15.75" customHeight="1">
      <c r="A204" s="1" t="s">
        <v>392</v>
      </c>
      <c r="B204" s="1" t="s">
        <v>36</v>
      </c>
      <c r="C204" s="1" t="s">
        <v>393</v>
      </c>
      <c r="D204" s="1">
        <f t="shared" si="2"/>
        <v>0.8542933866</v>
      </c>
      <c r="E204" s="1">
        <v>1.502347</v>
      </c>
      <c r="F204" s="1">
        <v>0.910434</v>
      </c>
      <c r="G204" s="1">
        <v>1.0</v>
      </c>
      <c r="H204" s="1">
        <v>0.3622</v>
      </c>
      <c r="I204" s="1">
        <v>0.4321</v>
      </c>
      <c r="K204" s="1">
        <v>1.596244131455399</v>
      </c>
    </row>
    <row r="205" ht="15.75" customHeight="1">
      <c r="A205" s="1" t="s">
        <v>394</v>
      </c>
      <c r="B205" s="1" t="s">
        <v>111</v>
      </c>
      <c r="C205" s="1" t="s">
        <v>395</v>
      </c>
      <c r="D205" s="1">
        <f t="shared" si="2"/>
        <v>0.8528620619</v>
      </c>
      <c r="E205" s="1">
        <v>6.5</v>
      </c>
      <c r="F205" s="1">
        <v>0.955644</v>
      </c>
      <c r="G205" s="1">
        <v>1.0</v>
      </c>
      <c r="H205" s="1">
        <v>0.3322</v>
      </c>
      <c r="I205" s="1">
        <v>0.2302</v>
      </c>
      <c r="J205" s="1" t="s">
        <v>112</v>
      </c>
      <c r="K205" s="1">
        <v>-1.5</v>
      </c>
    </row>
    <row r="206" ht="15.75" customHeight="1">
      <c r="A206" s="1" t="s">
        <v>396</v>
      </c>
      <c r="B206" s="1" t="s">
        <v>16</v>
      </c>
      <c r="C206" s="1" t="s">
        <v>397</v>
      </c>
      <c r="D206" s="1">
        <f t="shared" si="2"/>
        <v>0.8527987709</v>
      </c>
      <c r="E206" s="1">
        <v>4.651163</v>
      </c>
      <c r="F206" s="1">
        <v>0.947122</v>
      </c>
      <c r="G206" s="1">
        <v>0.347845</v>
      </c>
      <c r="H206" s="1">
        <v>0.3499</v>
      </c>
      <c r="I206" s="1">
        <v>0.4321</v>
      </c>
      <c r="K206" s="1">
        <v>0.0488997555012225</v>
      </c>
    </row>
    <row r="207" ht="15.75" customHeight="1">
      <c r="A207" s="1" t="s">
        <v>398</v>
      </c>
      <c r="B207" s="1" t="s">
        <v>36</v>
      </c>
      <c r="C207" s="1" t="s">
        <v>399</v>
      </c>
      <c r="D207" s="1">
        <f t="shared" si="2"/>
        <v>0.8525509119</v>
      </c>
      <c r="E207" s="1">
        <v>7.407407</v>
      </c>
      <c r="F207" s="1">
        <v>0.89075</v>
      </c>
      <c r="G207" s="1">
        <v>1.0</v>
      </c>
      <c r="H207" s="1">
        <v>0.3622</v>
      </c>
      <c r="I207" s="1">
        <v>0.4321</v>
      </c>
      <c r="K207" s="1">
        <v>-3.950617283950617</v>
      </c>
    </row>
    <row r="208" ht="15.75" customHeight="1">
      <c r="A208" s="1" t="s">
        <v>400</v>
      </c>
      <c r="B208" s="1" t="s">
        <v>21</v>
      </c>
      <c r="C208" s="1" t="s">
        <v>401</v>
      </c>
      <c r="D208" s="1">
        <f t="shared" si="2"/>
        <v>0.8511989038</v>
      </c>
      <c r="E208" s="1">
        <v>6.8</v>
      </c>
      <c r="F208" s="1">
        <v>0.947051</v>
      </c>
      <c r="G208" s="1">
        <v>0.247085</v>
      </c>
      <c r="H208" s="1">
        <v>0.3493</v>
      </c>
      <c r="I208" s="1">
        <v>0.4321</v>
      </c>
      <c r="K208" s="1">
        <v>0.5465547530743705</v>
      </c>
    </row>
    <row r="209" ht="15.75" customHeight="1">
      <c r="A209" s="1" t="s">
        <v>402</v>
      </c>
      <c r="B209" s="1" t="s">
        <v>21</v>
      </c>
      <c r="C209" s="1" t="s">
        <v>403</v>
      </c>
      <c r="D209" s="1">
        <f t="shared" si="2"/>
        <v>0.8482164297</v>
      </c>
      <c r="E209" s="1">
        <v>0.0</v>
      </c>
      <c r="F209" s="1">
        <v>0.969718</v>
      </c>
      <c r="G209" s="1">
        <v>0.693446</v>
      </c>
      <c r="H209" s="1">
        <v>0.3493</v>
      </c>
      <c r="I209" s="1">
        <v>0.4321</v>
      </c>
      <c r="K209" s="1">
        <v>0.0</v>
      </c>
    </row>
    <row r="210" ht="15.75" customHeight="1">
      <c r="A210" s="1" t="s">
        <v>404</v>
      </c>
      <c r="B210" s="1" t="s">
        <v>49</v>
      </c>
      <c r="C210" s="1" t="s">
        <v>241</v>
      </c>
      <c r="D210" s="1">
        <f t="shared" si="2"/>
        <v>0.8458701304</v>
      </c>
      <c r="E210" s="1">
        <v>1.916933</v>
      </c>
      <c r="F210" s="1">
        <v>0.967336</v>
      </c>
      <c r="G210" s="1">
        <v>0.546415</v>
      </c>
      <c r="H210" s="1">
        <v>0.3515</v>
      </c>
      <c r="I210" s="1">
        <v>0.4321</v>
      </c>
      <c r="K210" s="1">
        <v>-1.9169329073482428</v>
      </c>
    </row>
    <row r="211" ht="15.75" customHeight="1">
      <c r="A211" s="1" t="s">
        <v>405</v>
      </c>
      <c r="B211" s="1" t="s">
        <v>49</v>
      </c>
      <c r="C211" s="1" t="s">
        <v>406</v>
      </c>
      <c r="D211" s="1">
        <f t="shared" si="2"/>
        <v>0.8448247002</v>
      </c>
      <c r="E211" s="1">
        <v>5.892857</v>
      </c>
      <c r="F211" s="1">
        <v>0.954083</v>
      </c>
      <c r="G211" s="1">
        <v>1.0</v>
      </c>
      <c r="H211" s="1">
        <v>0.3515</v>
      </c>
      <c r="I211" s="1">
        <v>0.4321</v>
      </c>
      <c r="K211" s="1">
        <v>3.75</v>
      </c>
    </row>
    <row r="212" ht="15.75" customHeight="1">
      <c r="A212" s="1" t="s">
        <v>407</v>
      </c>
      <c r="B212" s="1" t="s">
        <v>21</v>
      </c>
      <c r="C212" s="1" t="s">
        <v>408</v>
      </c>
      <c r="D212" s="1">
        <f t="shared" si="2"/>
        <v>0.8441289089</v>
      </c>
      <c r="E212" s="1">
        <v>4.225352</v>
      </c>
      <c r="F212" s="1">
        <v>0.955633</v>
      </c>
      <c r="G212" s="1">
        <v>0.436748</v>
      </c>
      <c r="H212" s="1">
        <v>0.3493</v>
      </c>
      <c r="I212" s="1">
        <v>0.4321</v>
      </c>
      <c r="K212" s="1">
        <v>-0.8176918788329307</v>
      </c>
    </row>
    <row r="213" ht="15.75" customHeight="1">
      <c r="A213" s="1" t="s">
        <v>409</v>
      </c>
      <c r="B213" s="1" t="s">
        <v>24</v>
      </c>
      <c r="C213" s="1" t="s">
        <v>149</v>
      </c>
      <c r="D213" s="1">
        <f t="shared" si="2"/>
        <v>0.8427691815</v>
      </c>
      <c r="E213" s="1">
        <v>4.123711</v>
      </c>
      <c r="F213" s="1">
        <v>0.942226</v>
      </c>
      <c r="G213" s="1">
        <v>0.490737</v>
      </c>
      <c r="H213" s="1">
        <v>0.3487</v>
      </c>
      <c r="I213" s="1">
        <v>0.4321</v>
      </c>
      <c r="K213" s="1">
        <v>-2.4054982817869415</v>
      </c>
    </row>
    <row r="214" ht="15.75" customHeight="1">
      <c r="A214" s="1" t="s">
        <v>410</v>
      </c>
      <c r="B214" s="1" t="s">
        <v>21</v>
      </c>
      <c r="C214" s="1" t="s">
        <v>411</v>
      </c>
      <c r="D214" s="1">
        <f t="shared" si="2"/>
        <v>0.8414404148</v>
      </c>
      <c r="E214" s="1">
        <v>1.197605</v>
      </c>
      <c r="F214" s="1">
        <v>0.965726</v>
      </c>
      <c r="G214" s="1">
        <v>0.622957</v>
      </c>
      <c r="H214" s="1">
        <v>0.3493</v>
      </c>
      <c r="I214" s="1">
        <v>0.4321</v>
      </c>
      <c r="K214" s="1">
        <v>0.0</v>
      </c>
    </row>
    <row r="215" ht="15.75" customHeight="1">
      <c r="A215" s="1" t="s">
        <v>412</v>
      </c>
      <c r="B215" s="1" t="s">
        <v>49</v>
      </c>
      <c r="C215" s="1" t="s">
        <v>413</v>
      </c>
      <c r="D215" s="1">
        <f t="shared" si="2"/>
        <v>0.8407214031</v>
      </c>
      <c r="E215" s="1">
        <v>7.276995</v>
      </c>
      <c r="F215" s="1">
        <v>0.949469</v>
      </c>
      <c r="G215" s="1">
        <v>1.0</v>
      </c>
      <c r="H215" s="1">
        <v>0.3515</v>
      </c>
      <c r="I215" s="1">
        <v>0.4321</v>
      </c>
      <c r="K215" s="1">
        <v>-1.408450704225352</v>
      </c>
    </row>
    <row r="216" ht="15.75" customHeight="1">
      <c r="A216" s="1" t="s">
        <v>414</v>
      </c>
      <c r="B216" s="1" t="s">
        <v>24</v>
      </c>
      <c r="C216" s="1" t="s">
        <v>415</v>
      </c>
      <c r="D216" s="1">
        <f t="shared" si="2"/>
        <v>0.8391353214</v>
      </c>
      <c r="E216" s="1">
        <v>5.395683</v>
      </c>
      <c r="F216" s="1">
        <v>0.937986</v>
      </c>
      <c r="G216" s="1">
        <v>0.394799</v>
      </c>
      <c r="H216" s="1">
        <v>0.3487</v>
      </c>
      <c r="I216" s="1">
        <v>0.4321</v>
      </c>
      <c r="K216" s="1">
        <v>0.19102196752626552</v>
      </c>
    </row>
    <row r="217" ht="15.75" customHeight="1">
      <c r="A217" s="1" t="s">
        <v>416</v>
      </c>
      <c r="B217" s="1" t="s">
        <v>21</v>
      </c>
      <c r="C217" s="1" t="s">
        <v>417</v>
      </c>
      <c r="D217" s="1">
        <f t="shared" si="2"/>
        <v>0.8350641771</v>
      </c>
      <c r="E217" s="1">
        <v>2.083333</v>
      </c>
      <c r="F217" s="1">
        <v>0.962774</v>
      </c>
      <c r="G217" s="1">
        <v>0.335047</v>
      </c>
      <c r="H217" s="1">
        <v>0.3493</v>
      </c>
      <c r="I217" s="1">
        <v>0.4321</v>
      </c>
      <c r="K217" s="1">
        <v>0.5465547530743705</v>
      </c>
    </row>
    <row r="218" ht="15.75" customHeight="1">
      <c r="A218" s="1" t="s">
        <v>418</v>
      </c>
      <c r="B218" s="1" t="s">
        <v>16</v>
      </c>
      <c r="C218" s="1" t="s">
        <v>419</v>
      </c>
      <c r="D218" s="1">
        <f t="shared" si="2"/>
        <v>0.8336804676</v>
      </c>
      <c r="E218" s="1">
        <v>1.920768</v>
      </c>
      <c r="F218" s="1">
        <v>0.956223</v>
      </c>
      <c r="G218" s="1">
        <v>1.0</v>
      </c>
      <c r="H218" s="1">
        <v>0.3499</v>
      </c>
      <c r="I218" s="1">
        <v>0.4321</v>
      </c>
      <c r="K218" s="1">
        <v>1.3205282112845138</v>
      </c>
    </row>
    <row r="219" ht="15.75" customHeight="1">
      <c r="A219" s="1" t="s">
        <v>420</v>
      </c>
      <c r="B219" s="1" t="s">
        <v>12</v>
      </c>
      <c r="C219" s="1" t="s">
        <v>421</v>
      </c>
      <c r="D219" s="1">
        <f t="shared" si="2"/>
        <v>0.8332079488</v>
      </c>
      <c r="E219" s="1">
        <v>3.672316</v>
      </c>
      <c r="F219" s="1">
        <v>0.96743</v>
      </c>
      <c r="G219" s="1">
        <v>1.0</v>
      </c>
      <c r="H219" s="1">
        <v>0.3313</v>
      </c>
      <c r="I219" s="1">
        <v>0.4693</v>
      </c>
      <c r="J219" s="1" t="s">
        <v>14</v>
      </c>
      <c r="K219" s="1">
        <v>1.271186440677966</v>
      </c>
    </row>
    <row r="220" ht="15.75" customHeight="1">
      <c r="A220" s="1" t="s">
        <v>422</v>
      </c>
      <c r="B220" s="1" t="s">
        <v>24</v>
      </c>
      <c r="C220" s="1" t="s">
        <v>423</v>
      </c>
      <c r="D220" s="1">
        <f t="shared" si="2"/>
        <v>0.8318352079</v>
      </c>
      <c r="E220" s="1">
        <v>6.542056</v>
      </c>
      <c r="F220" s="1">
        <v>0.934164</v>
      </c>
      <c r="G220" s="1">
        <v>1.0</v>
      </c>
      <c r="H220" s="1">
        <v>0.3487</v>
      </c>
      <c r="I220" s="1">
        <v>0.4321</v>
      </c>
      <c r="K220" s="1">
        <v>-1.1682242990654206</v>
      </c>
    </row>
    <row r="221" ht="15.75" customHeight="1">
      <c r="A221" s="1" t="s">
        <v>424</v>
      </c>
      <c r="B221" s="1" t="s">
        <v>16</v>
      </c>
      <c r="C221" s="1" t="s">
        <v>425</v>
      </c>
      <c r="D221" s="1">
        <f t="shared" si="2"/>
        <v>0.8310869443</v>
      </c>
      <c r="E221" s="1">
        <v>3.891051</v>
      </c>
      <c r="F221" s="1">
        <v>0.949655</v>
      </c>
      <c r="G221" s="1">
        <v>0.214597</v>
      </c>
      <c r="H221" s="1">
        <v>0.3499</v>
      </c>
      <c r="I221" s="1">
        <v>0.4321</v>
      </c>
      <c r="K221" s="1">
        <v>0.0488997555012225</v>
      </c>
    </row>
    <row r="222" ht="15.75" customHeight="1">
      <c r="A222" s="1" t="s">
        <v>426</v>
      </c>
      <c r="B222" s="1" t="s">
        <v>49</v>
      </c>
      <c r="C222" s="1" t="s">
        <v>427</v>
      </c>
      <c r="D222" s="1">
        <f t="shared" si="2"/>
        <v>0.8306733227</v>
      </c>
      <c r="E222" s="1">
        <v>1.265823</v>
      </c>
      <c r="F222" s="1">
        <v>0.969506</v>
      </c>
      <c r="G222" s="1">
        <v>1.0</v>
      </c>
      <c r="H222" s="1">
        <v>0.3515</v>
      </c>
      <c r="I222" s="1">
        <v>0.4321</v>
      </c>
      <c r="K222" s="1">
        <v>0.8438818565400844</v>
      </c>
    </row>
    <row r="223" ht="15.75" customHeight="1">
      <c r="A223" s="1" t="s">
        <v>428</v>
      </c>
      <c r="B223" s="1" t="s">
        <v>16</v>
      </c>
      <c r="C223" s="1" t="s">
        <v>429</v>
      </c>
      <c r="D223" s="1">
        <f t="shared" si="2"/>
        <v>0.8279952066</v>
      </c>
      <c r="E223" s="1">
        <v>5.542725</v>
      </c>
      <c r="F223" s="1">
        <v>0.94415</v>
      </c>
      <c r="G223" s="1">
        <v>1.0</v>
      </c>
      <c r="H223" s="1">
        <v>0.3499</v>
      </c>
      <c r="I223" s="1">
        <v>0.4321</v>
      </c>
      <c r="K223" s="1">
        <v>-5.542725173210162</v>
      </c>
    </row>
    <row r="224" ht="15.75" customHeight="1">
      <c r="A224" s="1" t="s">
        <v>430</v>
      </c>
      <c r="B224" s="1" t="s">
        <v>16</v>
      </c>
      <c r="C224" s="1" t="s">
        <v>331</v>
      </c>
      <c r="D224" s="1">
        <f t="shared" si="2"/>
        <v>0.8185330113</v>
      </c>
      <c r="E224" s="1">
        <v>0.0</v>
      </c>
      <c r="F224" s="1">
        <v>0.962626</v>
      </c>
      <c r="G224" s="1">
        <v>0.39986</v>
      </c>
      <c r="H224" s="1">
        <v>0.3499</v>
      </c>
      <c r="I224" s="1">
        <v>0.4321</v>
      </c>
      <c r="K224" s="1">
        <v>0.0</v>
      </c>
    </row>
    <row r="225" ht="15.75" customHeight="1">
      <c r="A225" s="1" t="s">
        <v>431</v>
      </c>
      <c r="B225" s="1" t="s">
        <v>49</v>
      </c>
      <c r="C225" s="1" t="s">
        <v>432</v>
      </c>
      <c r="D225" s="1">
        <f t="shared" si="2"/>
        <v>0.8156552713</v>
      </c>
      <c r="E225" s="1">
        <v>4.044944</v>
      </c>
      <c r="F225" s="1">
        <v>0.960242</v>
      </c>
      <c r="G225" s="1">
        <v>1.0</v>
      </c>
      <c r="H225" s="1">
        <v>0.3515</v>
      </c>
      <c r="I225" s="1">
        <v>0.4321</v>
      </c>
      <c r="K225" s="1">
        <v>-4.719101123595506</v>
      </c>
    </row>
    <row r="226" ht="15.75" customHeight="1">
      <c r="A226" s="1" t="s">
        <v>433</v>
      </c>
      <c r="B226" s="1" t="s">
        <v>36</v>
      </c>
      <c r="C226" s="1" t="s">
        <v>434</v>
      </c>
      <c r="D226" s="1">
        <f t="shared" si="2"/>
        <v>0.8147240382</v>
      </c>
      <c r="E226" s="1">
        <v>6.69145</v>
      </c>
      <c r="F226" s="1">
        <v>0.893137</v>
      </c>
      <c r="G226" s="1">
        <v>0.299512</v>
      </c>
      <c r="H226" s="1">
        <v>0.3622</v>
      </c>
      <c r="I226" s="1">
        <v>0.4321</v>
      </c>
      <c r="K226" s="1">
        <v>0.9982638888888888</v>
      </c>
    </row>
    <row r="227" ht="15.75" customHeight="1">
      <c r="A227" s="1" t="s">
        <v>435</v>
      </c>
      <c r="B227" s="1" t="s">
        <v>49</v>
      </c>
      <c r="C227" s="1" t="s">
        <v>436</v>
      </c>
      <c r="D227" s="1">
        <f t="shared" si="2"/>
        <v>0.8107414119</v>
      </c>
      <c r="E227" s="1">
        <v>1.301115</v>
      </c>
      <c r="F227" s="1">
        <v>0.969389</v>
      </c>
      <c r="G227" s="1">
        <v>1.0</v>
      </c>
      <c r="H227" s="1">
        <v>0.3515</v>
      </c>
      <c r="I227" s="1">
        <v>0.4321</v>
      </c>
      <c r="K227" s="1">
        <v>1.486988847583643</v>
      </c>
    </row>
    <row r="228" ht="15.75" customHeight="1">
      <c r="A228" s="1" t="s">
        <v>437</v>
      </c>
      <c r="B228" s="1" t="s">
        <v>12</v>
      </c>
      <c r="C228" s="1" t="s">
        <v>438</v>
      </c>
      <c r="D228" s="1">
        <f t="shared" si="2"/>
        <v>0.8069123051</v>
      </c>
      <c r="E228" s="1">
        <v>0.320513</v>
      </c>
      <c r="F228" s="1">
        <v>0.978603</v>
      </c>
      <c r="G228" s="1">
        <v>1.0</v>
      </c>
      <c r="H228" s="1">
        <v>0.3313</v>
      </c>
      <c r="I228" s="1">
        <v>0.4693</v>
      </c>
      <c r="J228" s="1" t="s">
        <v>14</v>
      </c>
      <c r="K228" s="1">
        <v>0.6410256410256411</v>
      </c>
    </row>
    <row r="229" ht="15.75" customHeight="1">
      <c r="A229" s="1" t="s">
        <v>439</v>
      </c>
      <c r="B229" s="1" t="s">
        <v>49</v>
      </c>
      <c r="C229" s="1" t="s">
        <v>440</v>
      </c>
      <c r="D229" s="1">
        <f t="shared" si="2"/>
        <v>0.8040498587</v>
      </c>
      <c r="E229" s="1">
        <v>3.532009</v>
      </c>
      <c r="F229" s="1">
        <v>0.961952</v>
      </c>
      <c r="G229" s="1">
        <v>1.0</v>
      </c>
      <c r="H229" s="1">
        <v>0.3515</v>
      </c>
      <c r="I229" s="1">
        <v>0.4321</v>
      </c>
      <c r="K229" s="1">
        <v>-0.8830022075055187</v>
      </c>
    </row>
    <row r="230" ht="15.75" customHeight="1">
      <c r="A230" s="1" t="s">
        <v>441</v>
      </c>
      <c r="B230" s="1" t="s">
        <v>36</v>
      </c>
      <c r="C230" s="1" t="s">
        <v>442</v>
      </c>
      <c r="D230" s="1">
        <f t="shared" si="2"/>
        <v>0.803817255</v>
      </c>
      <c r="E230" s="1">
        <v>5.922551</v>
      </c>
      <c r="F230" s="1">
        <v>0.8957</v>
      </c>
      <c r="G230" s="1">
        <v>1.0</v>
      </c>
      <c r="H230" s="1">
        <v>0.3622</v>
      </c>
      <c r="I230" s="1">
        <v>0.4321</v>
      </c>
      <c r="K230" s="1">
        <v>-1.1389521640091116</v>
      </c>
    </row>
    <row r="231" ht="15.75" customHeight="1">
      <c r="A231" s="1" t="s">
        <v>443</v>
      </c>
      <c r="B231" s="1" t="s">
        <v>49</v>
      </c>
      <c r="C231" s="1" t="s">
        <v>319</v>
      </c>
      <c r="D231" s="1">
        <f t="shared" si="2"/>
        <v>0.8035251741</v>
      </c>
      <c r="E231" s="1">
        <v>5.309735</v>
      </c>
      <c r="F231" s="1">
        <v>0.956026</v>
      </c>
      <c r="G231" s="1">
        <v>1.0</v>
      </c>
      <c r="H231" s="1">
        <v>0.3515</v>
      </c>
      <c r="I231" s="1">
        <v>0.4321</v>
      </c>
      <c r="K231" s="1">
        <v>-1.0997643362136684</v>
      </c>
    </row>
    <row r="232" ht="15.75" customHeight="1">
      <c r="A232" s="1" t="s">
        <v>444</v>
      </c>
      <c r="B232" s="1" t="s">
        <v>12</v>
      </c>
      <c r="C232" s="1" t="s">
        <v>445</v>
      </c>
      <c r="D232" s="1">
        <f t="shared" si="2"/>
        <v>0.8011241506</v>
      </c>
      <c r="E232" s="1">
        <v>3.421053</v>
      </c>
      <c r="F232" s="1">
        <v>0.968268</v>
      </c>
      <c r="G232" s="1">
        <v>1.0</v>
      </c>
      <c r="H232" s="1">
        <v>0.3313</v>
      </c>
      <c r="I232" s="1">
        <v>0.4693</v>
      </c>
      <c r="J232" s="1" t="s">
        <v>14</v>
      </c>
      <c r="K232" s="1">
        <v>0.39473684210526316</v>
      </c>
    </row>
    <row r="233" ht="15.75" customHeight="1">
      <c r="A233" s="1" t="s">
        <v>446</v>
      </c>
      <c r="B233" s="1" t="s">
        <v>21</v>
      </c>
      <c r="C233" s="1" t="s">
        <v>447</v>
      </c>
      <c r="D233" s="1">
        <f t="shared" si="2"/>
        <v>0.8009679544</v>
      </c>
      <c r="E233" s="1">
        <v>2.890173</v>
      </c>
      <c r="F233" s="1">
        <v>0.960084</v>
      </c>
      <c r="G233" s="1">
        <v>1.0</v>
      </c>
      <c r="H233" s="1">
        <v>0.3493</v>
      </c>
      <c r="I233" s="1">
        <v>0.4321</v>
      </c>
      <c r="K233" s="1">
        <v>0.7225433526011561</v>
      </c>
    </row>
    <row r="234" ht="15.75" customHeight="1">
      <c r="A234" s="1" t="s">
        <v>448</v>
      </c>
      <c r="B234" s="1" t="s">
        <v>49</v>
      </c>
      <c r="C234" s="1" t="s">
        <v>440</v>
      </c>
      <c r="D234" s="1">
        <f t="shared" si="2"/>
        <v>0.8004972462</v>
      </c>
      <c r="E234" s="1">
        <v>6.622517</v>
      </c>
      <c r="F234" s="1">
        <v>0.951651</v>
      </c>
      <c r="G234" s="1">
        <v>1.0</v>
      </c>
      <c r="H234" s="1">
        <v>0.3515</v>
      </c>
      <c r="I234" s="1">
        <v>0.4321</v>
      </c>
      <c r="K234" s="1">
        <v>-1.0997643362136684</v>
      </c>
    </row>
    <row r="235" ht="15.75" customHeight="1">
      <c r="A235" s="1" t="s">
        <v>449</v>
      </c>
      <c r="B235" s="1" t="s">
        <v>49</v>
      </c>
      <c r="C235" s="1" t="s">
        <v>450</v>
      </c>
      <c r="D235" s="1">
        <f t="shared" si="2"/>
        <v>0.7979823791</v>
      </c>
      <c r="E235" s="1">
        <v>3.501094</v>
      </c>
      <c r="F235" s="1">
        <v>0.962055</v>
      </c>
      <c r="G235" s="1">
        <v>1.0</v>
      </c>
      <c r="H235" s="1">
        <v>0.3515</v>
      </c>
      <c r="I235" s="1">
        <v>0.4321</v>
      </c>
      <c r="K235" s="1">
        <v>-5.908096280087527</v>
      </c>
    </row>
    <row r="236" ht="15.75" customHeight="1">
      <c r="A236" s="1" t="s">
        <v>451</v>
      </c>
      <c r="B236" s="1" t="s">
        <v>45</v>
      </c>
      <c r="C236" s="1" t="s">
        <v>452</v>
      </c>
      <c r="D236" s="1">
        <f t="shared" si="2"/>
        <v>0.7948832638</v>
      </c>
      <c r="E236" s="1">
        <v>13.068182</v>
      </c>
      <c r="F236" s="1">
        <v>0.898346</v>
      </c>
      <c r="G236" s="1">
        <v>0.320589</v>
      </c>
      <c r="H236" s="1">
        <v>0.3552</v>
      </c>
      <c r="I236" s="1">
        <v>0.5969</v>
      </c>
      <c r="J236" s="1" t="s">
        <v>47</v>
      </c>
      <c r="K236" s="1">
        <v>1.1976047904191616</v>
      </c>
    </row>
    <row r="237" ht="15.75" customHeight="1">
      <c r="A237" s="1" t="s">
        <v>453</v>
      </c>
      <c r="B237" s="1" t="s">
        <v>21</v>
      </c>
      <c r="C237" s="1" t="s">
        <v>454</v>
      </c>
      <c r="D237" s="1">
        <f t="shared" si="2"/>
        <v>0.7898970552</v>
      </c>
      <c r="E237" s="1">
        <v>1.880878</v>
      </c>
      <c r="F237" s="1">
        <v>0.963448</v>
      </c>
      <c r="G237" s="1">
        <v>0.277831</v>
      </c>
      <c r="H237" s="1">
        <v>0.3493</v>
      </c>
      <c r="I237" s="1">
        <v>0.4321</v>
      </c>
      <c r="K237" s="1">
        <v>0.5465547530743705</v>
      </c>
    </row>
    <row r="238" ht="15.75" customHeight="1">
      <c r="A238" s="1" t="s">
        <v>455</v>
      </c>
      <c r="B238" s="1" t="s">
        <v>21</v>
      </c>
      <c r="C238" s="1" t="s">
        <v>456</v>
      </c>
      <c r="D238" s="1">
        <f t="shared" si="2"/>
        <v>0.7866697594</v>
      </c>
      <c r="E238" s="1">
        <v>0.653595</v>
      </c>
      <c r="F238" s="1">
        <v>0.967539</v>
      </c>
      <c r="G238" s="1">
        <v>0.980826</v>
      </c>
      <c r="H238" s="1">
        <v>0.3493</v>
      </c>
      <c r="I238" s="1">
        <v>0.4321</v>
      </c>
      <c r="K238" s="1">
        <v>0.6116852984602404</v>
      </c>
    </row>
    <row r="239" ht="15.75" customHeight="1">
      <c r="A239" s="1" t="s">
        <v>457</v>
      </c>
      <c r="B239" s="1" t="s">
        <v>16</v>
      </c>
      <c r="C239" s="1" t="s">
        <v>458</v>
      </c>
      <c r="D239" s="1">
        <f t="shared" si="2"/>
        <v>0.7859472792</v>
      </c>
      <c r="E239" s="1">
        <v>3.896104</v>
      </c>
      <c r="F239" s="1">
        <v>0.949638</v>
      </c>
      <c r="G239" s="1">
        <v>1.0</v>
      </c>
      <c r="H239" s="1">
        <v>0.3499</v>
      </c>
      <c r="I239" s="1">
        <v>0.4321</v>
      </c>
      <c r="K239" s="1">
        <v>-1.5151515151515151</v>
      </c>
    </row>
    <row r="240" ht="15.75" customHeight="1">
      <c r="A240" s="1" t="s">
        <v>459</v>
      </c>
      <c r="B240" s="1" t="s">
        <v>21</v>
      </c>
      <c r="C240" s="1" t="s">
        <v>460</v>
      </c>
      <c r="D240" s="1">
        <f t="shared" si="2"/>
        <v>0.7857865005</v>
      </c>
      <c r="E240" s="1">
        <v>4.75162</v>
      </c>
      <c r="F240" s="1">
        <v>0.953879</v>
      </c>
      <c r="G240" s="1">
        <v>1.0</v>
      </c>
      <c r="H240" s="1">
        <v>0.3493</v>
      </c>
      <c r="I240" s="1">
        <v>0.4321</v>
      </c>
      <c r="K240" s="1">
        <v>-1.511879049676026</v>
      </c>
    </row>
    <row r="241" ht="15.75" customHeight="1">
      <c r="A241" s="1" t="s">
        <v>461</v>
      </c>
      <c r="B241" s="1" t="s">
        <v>24</v>
      </c>
      <c r="C241" s="1" t="s">
        <v>460</v>
      </c>
      <c r="D241" s="1">
        <f t="shared" si="2"/>
        <v>0.783747078</v>
      </c>
      <c r="E241" s="1">
        <v>2.37581</v>
      </c>
      <c r="F241" s="1">
        <v>0.948052</v>
      </c>
      <c r="G241" s="1">
        <v>1.0</v>
      </c>
      <c r="H241" s="1">
        <v>0.3487</v>
      </c>
      <c r="I241" s="1">
        <v>0.4321</v>
      </c>
      <c r="K241" s="1">
        <v>-1.079913606911447</v>
      </c>
    </row>
    <row r="242" ht="15.75" customHeight="1">
      <c r="A242" s="1" t="s">
        <v>462</v>
      </c>
      <c r="B242" s="1" t="s">
        <v>12</v>
      </c>
      <c r="C242" s="1" t="s">
        <v>463</v>
      </c>
      <c r="D242" s="1">
        <f t="shared" si="2"/>
        <v>0.7825932709</v>
      </c>
      <c r="E242" s="1">
        <v>0.566572</v>
      </c>
      <c r="F242" s="1">
        <v>0.977783</v>
      </c>
      <c r="G242" s="1">
        <v>0.458407</v>
      </c>
      <c r="H242" s="1">
        <v>0.3313</v>
      </c>
      <c r="I242" s="1">
        <v>0.4693</v>
      </c>
      <c r="J242" s="1" t="s">
        <v>14</v>
      </c>
      <c r="K242" s="1">
        <v>-0.21595356998245377</v>
      </c>
    </row>
    <row r="243" ht="15.75" customHeight="1">
      <c r="A243" s="1" t="s">
        <v>464</v>
      </c>
      <c r="B243" s="1" t="s">
        <v>111</v>
      </c>
      <c r="C243" s="1" t="s">
        <v>465</v>
      </c>
      <c r="D243" s="1">
        <f t="shared" si="2"/>
        <v>0.781601639</v>
      </c>
      <c r="E243" s="1">
        <v>0.814664</v>
      </c>
      <c r="F243" s="1">
        <v>0.974595</v>
      </c>
      <c r="G243" s="1">
        <v>1.0</v>
      </c>
      <c r="H243" s="1">
        <v>0.3322</v>
      </c>
      <c r="I243" s="1">
        <v>0.2302</v>
      </c>
      <c r="J243" s="1" t="s">
        <v>112</v>
      </c>
      <c r="K243" s="1">
        <v>5.443037974683544</v>
      </c>
    </row>
    <row r="244" ht="15.75" customHeight="1">
      <c r="A244" s="1" t="s">
        <v>466</v>
      </c>
      <c r="B244" s="1" t="s">
        <v>49</v>
      </c>
      <c r="C244" s="1" t="s">
        <v>467</v>
      </c>
      <c r="D244" s="1">
        <f t="shared" si="2"/>
        <v>0.7804859969</v>
      </c>
      <c r="E244" s="1">
        <v>7.508532</v>
      </c>
      <c r="F244" s="1">
        <v>0.948697</v>
      </c>
      <c r="G244" s="1">
        <v>0.1711</v>
      </c>
      <c r="H244" s="1">
        <v>0.3515</v>
      </c>
      <c r="I244" s="1">
        <v>0.4321</v>
      </c>
      <c r="K244" s="1">
        <v>0.0</v>
      </c>
    </row>
    <row r="245" ht="15.75" customHeight="1">
      <c r="A245" s="1" t="s">
        <v>468</v>
      </c>
      <c r="B245" s="1" t="s">
        <v>24</v>
      </c>
      <c r="C245" s="1" t="s">
        <v>469</v>
      </c>
      <c r="D245" s="1">
        <f t="shared" si="2"/>
        <v>0.7747326171</v>
      </c>
      <c r="E245" s="1">
        <v>3.134796</v>
      </c>
      <c r="F245" s="1">
        <v>0.945522</v>
      </c>
      <c r="G245" s="1">
        <v>1.0</v>
      </c>
      <c r="H245" s="1">
        <v>0.3487</v>
      </c>
      <c r="I245" s="1">
        <v>0.4321</v>
      </c>
      <c r="K245" s="1">
        <v>0.31347962382445144</v>
      </c>
    </row>
    <row r="246" ht="15.75" customHeight="1">
      <c r="A246" s="1" t="s">
        <v>470</v>
      </c>
      <c r="B246" s="1" t="s">
        <v>21</v>
      </c>
      <c r="C246" s="1" t="s">
        <v>471</v>
      </c>
      <c r="D246" s="1">
        <f t="shared" si="2"/>
        <v>0.7742964906</v>
      </c>
      <c r="E246" s="1">
        <v>1.39417</v>
      </c>
      <c r="F246" s="1">
        <v>0.965071</v>
      </c>
      <c r="G246" s="1">
        <v>1.0</v>
      </c>
      <c r="H246" s="1">
        <v>0.3493</v>
      </c>
      <c r="I246" s="1">
        <v>0.4321</v>
      </c>
      <c r="K246" s="1">
        <v>0.1267427122940431</v>
      </c>
    </row>
    <row r="247" ht="15.75" customHeight="1">
      <c r="A247" s="1" t="s">
        <v>472</v>
      </c>
      <c r="B247" s="1" t="s">
        <v>111</v>
      </c>
      <c r="C247" s="1" t="s">
        <v>473</v>
      </c>
      <c r="D247" s="1">
        <f t="shared" si="2"/>
        <v>0.770534425</v>
      </c>
      <c r="E247" s="1">
        <v>1.25</v>
      </c>
      <c r="F247" s="1">
        <v>0.973144</v>
      </c>
      <c r="G247" s="1">
        <v>0.328942</v>
      </c>
      <c r="H247" s="1">
        <v>0.3322</v>
      </c>
      <c r="I247" s="1">
        <v>0.2302</v>
      </c>
      <c r="J247" s="1" t="s">
        <v>112</v>
      </c>
      <c r="K247" s="1">
        <v>5.443037974683544</v>
      </c>
    </row>
    <row r="248" ht="15.75" customHeight="1">
      <c r="A248" s="1" t="s">
        <v>474</v>
      </c>
      <c r="B248" s="1" t="s">
        <v>45</v>
      </c>
      <c r="C248" s="1" t="s">
        <v>475</v>
      </c>
      <c r="D248" s="1">
        <f t="shared" si="2"/>
        <v>0.7682309429</v>
      </c>
      <c r="E248" s="1">
        <v>4.508197</v>
      </c>
      <c r="F248" s="1">
        <v>0.926879</v>
      </c>
      <c r="G248" s="1">
        <v>1.0</v>
      </c>
      <c r="H248" s="1">
        <v>0.3552</v>
      </c>
      <c r="I248" s="1">
        <v>0.5969</v>
      </c>
      <c r="J248" s="1" t="s">
        <v>47</v>
      </c>
      <c r="K248" s="1">
        <v>-5.532786885245901</v>
      </c>
    </row>
    <row r="249" ht="15.75" customHeight="1">
      <c r="A249" s="1" t="s">
        <v>476</v>
      </c>
      <c r="B249" s="1" t="s">
        <v>24</v>
      </c>
      <c r="C249" s="1" t="s">
        <v>477</v>
      </c>
      <c r="D249" s="1">
        <f t="shared" si="2"/>
        <v>0.7664552278</v>
      </c>
      <c r="E249" s="1">
        <v>0.0</v>
      </c>
      <c r="F249" s="1">
        <v>0.955971</v>
      </c>
      <c r="G249" s="1">
        <v>0.919599</v>
      </c>
      <c r="H249" s="1">
        <v>0.3487</v>
      </c>
      <c r="I249" s="1">
        <v>0.4321</v>
      </c>
      <c r="K249" s="1">
        <v>0.18839103869653767</v>
      </c>
    </row>
    <row r="250" ht="15.75" customHeight="1">
      <c r="A250" s="1" t="s">
        <v>478</v>
      </c>
      <c r="B250" s="1" t="s">
        <v>21</v>
      </c>
      <c r="C250" s="1" t="s">
        <v>479</v>
      </c>
      <c r="D250" s="1">
        <f t="shared" si="2"/>
        <v>0.7637426387</v>
      </c>
      <c r="E250" s="1">
        <v>5.450734</v>
      </c>
      <c r="F250" s="1">
        <v>0.951549</v>
      </c>
      <c r="G250" s="1">
        <v>1.0</v>
      </c>
      <c r="H250" s="1">
        <v>0.3493</v>
      </c>
      <c r="I250" s="1">
        <v>0.4321</v>
      </c>
      <c r="K250" s="1">
        <v>-3.338391502276176</v>
      </c>
    </row>
    <row r="251" ht="15.75" customHeight="1">
      <c r="A251" s="1" t="s">
        <v>480</v>
      </c>
      <c r="B251" s="1" t="s">
        <v>49</v>
      </c>
      <c r="C251" s="1" t="s">
        <v>481</v>
      </c>
      <c r="D251" s="1">
        <f t="shared" si="2"/>
        <v>0.7610245471</v>
      </c>
      <c r="E251" s="1">
        <v>5.208333</v>
      </c>
      <c r="F251" s="1">
        <v>0.956364</v>
      </c>
      <c r="G251" s="1">
        <v>1.0</v>
      </c>
      <c r="H251" s="1">
        <v>0.3515</v>
      </c>
      <c r="I251" s="1">
        <v>0.4321</v>
      </c>
      <c r="K251" s="1">
        <v>-3.125</v>
      </c>
    </row>
    <row r="252" ht="15.75" customHeight="1">
      <c r="A252" s="1" t="s">
        <v>482</v>
      </c>
      <c r="B252" s="1" t="s">
        <v>12</v>
      </c>
      <c r="C252" s="1" t="s">
        <v>483</v>
      </c>
      <c r="D252" s="1">
        <f t="shared" si="2"/>
        <v>0.759228069</v>
      </c>
      <c r="E252" s="1">
        <v>7.570978</v>
      </c>
      <c r="F252" s="1">
        <v>0.954435</v>
      </c>
      <c r="G252" s="1">
        <v>0.1359</v>
      </c>
      <c r="H252" s="1">
        <v>0.3313</v>
      </c>
      <c r="I252" s="1">
        <v>0.4693</v>
      </c>
      <c r="J252" s="1" t="s">
        <v>14</v>
      </c>
      <c r="K252" s="1">
        <v>0.0</v>
      </c>
    </row>
    <row r="253" ht="15.75" customHeight="1">
      <c r="A253" s="1" t="s">
        <v>484</v>
      </c>
      <c r="B253" s="1" t="s">
        <v>49</v>
      </c>
      <c r="C253" s="1" t="s">
        <v>485</v>
      </c>
      <c r="D253" s="1">
        <f t="shared" si="2"/>
        <v>0.7587021326</v>
      </c>
      <c r="E253" s="1">
        <v>3.783784</v>
      </c>
      <c r="F253" s="1">
        <v>0.961113</v>
      </c>
      <c r="G253" s="1">
        <v>0.426736</v>
      </c>
      <c r="H253" s="1">
        <v>0.3515</v>
      </c>
      <c r="I253" s="1">
        <v>0.4321</v>
      </c>
      <c r="K253" s="1">
        <v>0.43795620437956206</v>
      </c>
    </row>
    <row r="254" ht="15.75" customHeight="1">
      <c r="A254" s="1" t="s">
        <v>486</v>
      </c>
      <c r="B254" s="1" t="s">
        <v>12</v>
      </c>
      <c r="C254" s="1" t="s">
        <v>487</v>
      </c>
      <c r="D254" s="1">
        <f t="shared" si="2"/>
        <v>0.7547848879</v>
      </c>
      <c r="E254" s="1">
        <v>1.682692</v>
      </c>
      <c r="F254" s="1">
        <v>0.974063</v>
      </c>
      <c r="G254" s="1">
        <v>1.0</v>
      </c>
      <c r="H254" s="1">
        <v>0.3313</v>
      </c>
      <c r="I254" s="1">
        <v>0.4693</v>
      </c>
      <c r="J254" s="1" t="s">
        <v>14</v>
      </c>
      <c r="K254" s="1">
        <v>-2.2836538461538463</v>
      </c>
    </row>
    <row r="255" ht="15.75" customHeight="1">
      <c r="A255" s="1" t="s">
        <v>488</v>
      </c>
      <c r="B255" s="1" t="s">
        <v>12</v>
      </c>
      <c r="C255" s="1" t="s">
        <v>489</v>
      </c>
      <c r="D255" s="1">
        <f t="shared" si="2"/>
        <v>0.7545033062</v>
      </c>
      <c r="E255" s="1">
        <v>1.944444</v>
      </c>
      <c r="F255" s="1">
        <v>0.97319</v>
      </c>
      <c r="G255" s="1">
        <v>1.0</v>
      </c>
      <c r="H255" s="1">
        <v>0.3313</v>
      </c>
      <c r="I255" s="1">
        <v>0.4693</v>
      </c>
      <c r="J255" s="1" t="s">
        <v>14</v>
      </c>
      <c r="K255" s="1">
        <v>-1.6666666666666667</v>
      </c>
    </row>
    <row r="256" ht="15.75" customHeight="1">
      <c r="A256" s="1" t="s">
        <v>490</v>
      </c>
      <c r="B256" s="1" t="s">
        <v>12</v>
      </c>
      <c r="C256" s="1" t="s">
        <v>491</v>
      </c>
      <c r="D256" s="1">
        <f t="shared" si="2"/>
        <v>0.7540543066</v>
      </c>
      <c r="E256" s="1">
        <v>2.362205</v>
      </c>
      <c r="F256" s="1">
        <v>0.971797</v>
      </c>
      <c r="G256" s="1">
        <v>1.0</v>
      </c>
      <c r="H256" s="1">
        <v>0.3313</v>
      </c>
      <c r="I256" s="1">
        <v>0.4693</v>
      </c>
      <c r="J256" s="1" t="s">
        <v>14</v>
      </c>
      <c r="K256" s="1">
        <v>-1.7716535433070866</v>
      </c>
    </row>
    <row r="257" ht="15.75" customHeight="1">
      <c r="A257" s="1" t="s">
        <v>492</v>
      </c>
      <c r="B257" s="1" t="s">
        <v>12</v>
      </c>
      <c r="C257" s="1" t="s">
        <v>493</v>
      </c>
      <c r="D257" s="1">
        <f t="shared" si="2"/>
        <v>0.7540072688</v>
      </c>
      <c r="E257" s="1">
        <v>2.406015</v>
      </c>
      <c r="F257" s="1">
        <v>0.971651</v>
      </c>
      <c r="G257" s="1">
        <v>1.0</v>
      </c>
      <c r="H257" s="1">
        <v>0.3313</v>
      </c>
      <c r="I257" s="1">
        <v>0.4693</v>
      </c>
      <c r="J257" s="1" t="s">
        <v>14</v>
      </c>
      <c r="K257" s="1">
        <v>-2.857142857142857</v>
      </c>
    </row>
    <row r="258" ht="15.75" customHeight="1">
      <c r="A258" s="1" t="s">
        <v>494</v>
      </c>
      <c r="B258" s="1" t="s">
        <v>12</v>
      </c>
      <c r="C258" s="1" t="s">
        <v>495</v>
      </c>
      <c r="D258" s="1">
        <f t="shared" si="2"/>
        <v>0.7535963476</v>
      </c>
      <c r="E258" s="1">
        <v>2.788845</v>
      </c>
      <c r="F258" s="1">
        <v>0.970375</v>
      </c>
      <c r="G258" s="1">
        <v>1.0</v>
      </c>
      <c r="H258" s="1">
        <v>0.3313</v>
      </c>
      <c r="I258" s="1">
        <v>0.4693</v>
      </c>
      <c r="J258" s="1" t="s">
        <v>14</v>
      </c>
      <c r="K258" s="1">
        <v>-2.3904382470119523</v>
      </c>
    </row>
    <row r="259" ht="15.75" customHeight="1">
      <c r="A259" s="1" t="s">
        <v>496</v>
      </c>
      <c r="B259" s="1" t="s">
        <v>111</v>
      </c>
      <c r="C259" s="1" t="s">
        <v>497</v>
      </c>
      <c r="D259" s="1">
        <f t="shared" si="2"/>
        <v>0.7535778752</v>
      </c>
      <c r="E259" s="1">
        <v>4.026846</v>
      </c>
      <c r="F259" s="1">
        <v>0.963888</v>
      </c>
      <c r="G259" s="1">
        <v>0.082059</v>
      </c>
      <c r="H259" s="1">
        <v>0.3322</v>
      </c>
      <c r="I259" s="1">
        <v>0.2302</v>
      </c>
      <c r="J259" s="1" t="s">
        <v>112</v>
      </c>
      <c r="K259" s="1">
        <v>5.443037974683544</v>
      </c>
    </row>
    <row r="260" ht="15.75" customHeight="1">
      <c r="A260" s="1" t="s">
        <v>498</v>
      </c>
      <c r="B260" s="1" t="s">
        <v>24</v>
      </c>
      <c r="C260" s="1" t="s">
        <v>499</v>
      </c>
      <c r="D260" s="1">
        <f t="shared" si="2"/>
        <v>0.7528766949</v>
      </c>
      <c r="E260" s="1">
        <v>0.296296</v>
      </c>
      <c r="F260" s="1">
        <v>0.954984</v>
      </c>
      <c r="G260" s="1">
        <v>0.944176</v>
      </c>
      <c r="H260" s="1">
        <v>0.3487</v>
      </c>
      <c r="I260" s="1">
        <v>0.4321</v>
      </c>
      <c r="K260" s="1">
        <v>0.18839103869653767</v>
      </c>
    </row>
    <row r="261" ht="15.75" customHeight="1">
      <c r="A261" s="1" t="s">
        <v>500</v>
      </c>
      <c r="B261" s="1" t="s">
        <v>12</v>
      </c>
      <c r="C261" s="1" t="s">
        <v>501</v>
      </c>
      <c r="D261" s="1">
        <f t="shared" si="2"/>
        <v>0.7527799543</v>
      </c>
      <c r="E261" s="1">
        <v>3.550296</v>
      </c>
      <c r="F261" s="1">
        <v>0.967837</v>
      </c>
      <c r="G261" s="1">
        <v>1.0</v>
      </c>
      <c r="H261" s="1">
        <v>0.3313</v>
      </c>
      <c r="I261" s="1">
        <v>0.4693</v>
      </c>
      <c r="J261" s="1" t="s">
        <v>14</v>
      </c>
      <c r="K261" s="1">
        <v>-2.366863905325444</v>
      </c>
    </row>
    <row r="262" ht="15.75" customHeight="1">
      <c r="A262" s="1" t="s">
        <v>502</v>
      </c>
      <c r="B262" s="1" t="s">
        <v>12</v>
      </c>
      <c r="C262" s="1" t="s">
        <v>503</v>
      </c>
      <c r="D262" s="1">
        <f t="shared" si="2"/>
        <v>0.751652545</v>
      </c>
      <c r="E262" s="1">
        <v>2.785515</v>
      </c>
      <c r="F262" s="1">
        <v>0.970386</v>
      </c>
      <c r="G262" s="1">
        <v>0.367938</v>
      </c>
      <c r="H262" s="1">
        <v>0.3313</v>
      </c>
      <c r="I262" s="1">
        <v>0.4693</v>
      </c>
      <c r="J262" s="1" t="s">
        <v>14</v>
      </c>
      <c r="K262" s="1">
        <v>-0.21595356998245377</v>
      </c>
    </row>
    <row r="263" ht="15.75" customHeight="1">
      <c r="A263" s="1" t="s">
        <v>504</v>
      </c>
      <c r="B263" s="1" t="s">
        <v>49</v>
      </c>
      <c r="C263" s="1" t="s">
        <v>505</v>
      </c>
      <c r="D263" s="1">
        <f t="shared" si="2"/>
        <v>0.7513995247</v>
      </c>
      <c r="E263" s="1">
        <v>0.0</v>
      </c>
      <c r="F263" s="1">
        <v>0.973726</v>
      </c>
      <c r="G263" s="1">
        <v>1.0</v>
      </c>
      <c r="H263" s="1">
        <v>0.3515</v>
      </c>
      <c r="I263" s="1">
        <v>0.4321</v>
      </c>
      <c r="K263" s="1">
        <v>0.0</v>
      </c>
    </row>
    <row r="264" ht="15.75" customHeight="1">
      <c r="A264" s="1" t="s">
        <v>506</v>
      </c>
      <c r="B264" s="1" t="s">
        <v>49</v>
      </c>
      <c r="C264" s="1" t="s">
        <v>507</v>
      </c>
      <c r="D264" s="1">
        <f t="shared" si="2"/>
        <v>0.7498337717</v>
      </c>
      <c r="E264" s="1">
        <v>1.4518</v>
      </c>
      <c r="F264" s="1">
        <v>0.968886</v>
      </c>
      <c r="G264" s="1">
        <v>1.0</v>
      </c>
      <c r="H264" s="1">
        <v>0.3515</v>
      </c>
      <c r="I264" s="1">
        <v>0.4321</v>
      </c>
      <c r="K264" s="1">
        <v>0.0</v>
      </c>
    </row>
    <row r="265" ht="15.75" customHeight="1">
      <c r="A265" s="1" t="s">
        <v>508</v>
      </c>
      <c r="B265" s="1" t="s">
        <v>49</v>
      </c>
      <c r="C265" s="1" t="s">
        <v>509</v>
      </c>
      <c r="D265" s="1">
        <f t="shared" si="2"/>
        <v>0.7493265258</v>
      </c>
      <c r="E265" s="1">
        <v>1.923077</v>
      </c>
      <c r="F265" s="1">
        <v>0.967315</v>
      </c>
      <c r="G265" s="1">
        <v>1.0</v>
      </c>
      <c r="H265" s="1">
        <v>0.3515</v>
      </c>
      <c r="I265" s="1">
        <v>0.4321</v>
      </c>
      <c r="K265" s="1">
        <v>-4.258241758241758</v>
      </c>
    </row>
    <row r="266" ht="15.75" customHeight="1">
      <c r="A266" s="1" t="s">
        <v>510</v>
      </c>
      <c r="B266" s="1" t="s">
        <v>49</v>
      </c>
      <c r="C266" s="1" t="s">
        <v>511</v>
      </c>
      <c r="D266" s="1">
        <f t="shared" si="2"/>
        <v>0.7485525394</v>
      </c>
      <c r="E266" s="1">
        <v>2.643172</v>
      </c>
      <c r="F266" s="1">
        <v>0.964915</v>
      </c>
      <c r="G266" s="1">
        <v>1.0</v>
      </c>
      <c r="H266" s="1">
        <v>0.3515</v>
      </c>
      <c r="I266" s="1">
        <v>0.4321</v>
      </c>
      <c r="K266" s="1">
        <v>-2.207727044656297</v>
      </c>
    </row>
    <row r="267" ht="15.75" customHeight="1">
      <c r="A267" s="1" t="s">
        <v>512</v>
      </c>
      <c r="B267" s="1" t="s">
        <v>21</v>
      </c>
      <c r="C267" s="1" t="s">
        <v>513</v>
      </c>
      <c r="D267" s="1">
        <f t="shared" si="2"/>
        <v>0.7485268736</v>
      </c>
      <c r="E267" s="1">
        <v>1.225115</v>
      </c>
      <c r="F267" s="1">
        <v>0.965634</v>
      </c>
      <c r="G267" s="1">
        <v>1.0</v>
      </c>
      <c r="H267" s="1">
        <v>0.3493</v>
      </c>
      <c r="I267" s="1">
        <v>0.4321</v>
      </c>
      <c r="K267" s="1">
        <v>-2.3736600306278715</v>
      </c>
    </row>
    <row r="268" ht="15.75" customHeight="1">
      <c r="A268" s="1" t="s">
        <v>514</v>
      </c>
      <c r="B268" s="1" t="s">
        <v>49</v>
      </c>
      <c r="C268" s="1" t="s">
        <v>515</v>
      </c>
      <c r="D268" s="1">
        <f t="shared" si="2"/>
        <v>0.7483872456</v>
      </c>
      <c r="E268" s="1">
        <v>2.797203</v>
      </c>
      <c r="F268" s="1">
        <v>0.964402</v>
      </c>
      <c r="G268" s="1">
        <v>1.0</v>
      </c>
      <c r="H268" s="1">
        <v>0.3515</v>
      </c>
      <c r="I268" s="1">
        <v>0.4321</v>
      </c>
      <c r="K268" s="1">
        <v>-2.207727044656297</v>
      </c>
    </row>
    <row r="269" ht="15.75" customHeight="1">
      <c r="A269" s="1" t="s">
        <v>516</v>
      </c>
      <c r="B269" s="1" t="s">
        <v>21</v>
      </c>
      <c r="C269" s="1" t="s">
        <v>517</v>
      </c>
      <c r="D269" s="1">
        <f t="shared" si="2"/>
        <v>0.7482972949</v>
      </c>
      <c r="E269" s="1">
        <v>1.438849</v>
      </c>
      <c r="F269" s="1">
        <v>0.964922</v>
      </c>
      <c r="G269" s="1">
        <v>1.0</v>
      </c>
      <c r="H269" s="1">
        <v>0.3493</v>
      </c>
      <c r="I269" s="1">
        <v>0.4321</v>
      </c>
      <c r="K269" s="1">
        <v>-1.9527235354573484</v>
      </c>
    </row>
    <row r="270" ht="15.75" customHeight="1">
      <c r="A270" s="1" t="s">
        <v>518</v>
      </c>
      <c r="B270" s="1" t="s">
        <v>21</v>
      </c>
      <c r="C270" s="1" t="s">
        <v>235</v>
      </c>
      <c r="D270" s="1">
        <f t="shared" si="2"/>
        <v>0.7482395933</v>
      </c>
      <c r="E270" s="1">
        <v>1.492537</v>
      </c>
      <c r="F270" s="1">
        <v>0.964743</v>
      </c>
      <c r="G270" s="1">
        <v>1.0</v>
      </c>
      <c r="H270" s="1">
        <v>0.3493</v>
      </c>
      <c r="I270" s="1">
        <v>0.4321</v>
      </c>
      <c r="K270" s="1">
        <v>-3.3582089552238807</v>
      </c>
    </row>
    <row r="271" ht="15.75" customHeight="1">
      <c r="A271" s="1" t="s">
        <v>519</v>
      </c>
      <c r="B271" s="1" t="s">
        <v>21</v>
      </c>
      <c r="C271" s="1" t="s">
        <v>520</v>
      </c>
      <c r="D271" s="1">
        <f t="shared" si="2"/>
        <v>0.7480697485</v>
      </c>
      <c r="E271" s="1">
        <v>1.650619</v>
      </c>
      <c r="F271" s="1">
        <v>0.964216</v>
      </c>
      <c r="G271" s="1">
        <v>1.0</v>
      </c>
      <c r="H271" s="1">
        <v>0.3493</v>
      </c>
      <c r="I271" s="1">
        <v>0.4321</v>
      </c>
      <c r="K271" s="1">
        <v>0.0</v>
      </c>
    </row>
    <row r="272" ht="15.75" customHeight="1">
      <c r="A272" s="1" t="s">
        <v>521</v>
      </c>
      <c r="B272" s="1" t="s">
        <v>49</v>
      </c>
      <c r="C272" s="1" t="s">
        <v>522</v>
      </c>
      <c r="D272" s="1">
        <f t="shared" si="2"/>
        <v>0.7478598097</v>
      </c>
      <c r="E272" s="1">
        <v>3.28849</v>
      </c>
      <c r="F272" s="1">
        <v>0.962764</v>
      </c>
      <c r="G272" s="1">
        <v>1.0</v>
      </c>
      <c r="H272" s="1">
        <v>0.3515</v>
      </c>
      <c r="I272" s="1">
        <v>0.4321</v>
      </c>
      <c r="K272" s="1">
        <v>0.0</v>
      </c>
    </row>
    <row r="273" ht="15.75" customHeight="1">
      <c r="A273" s="1" t="s">
        <v>523</v>
      </c>
      <c r="B273" s="1" t="s">
        <v>21</v>
      </c>
      <c r="C273" s="1" t="s">
        <v>524</v>
      </c>
      <c r="D273" s="1">
        <f t="shared" si="2"/>
        <v>0.7475280264</v>
      </c>
      <c r="E273" s="1">
        <v>2.155172</v>
      </c>
      <c r="F273" s="1">
        <v>0.962534</v>
      </c>
      <c r="G273" s="1">
        <v>1.0</v>
      </c>
      <c r="H273" s="1">
        <v>0.3493</v>
      </c>
      <c r="I273" s="1">
        <v>0.4321</v>
      </c>
      <c r="K273" s="1">
        <v>-9.267241379310345</v>
      </c>
    </row>
    <row r="274" ht="15.75" customHeight="1">
      <c r="A274" s="1" t="s">
        <v>525</v>
      </c>
      <c r="B274" s="1" t="s">
        <v>49</v>
      </c>
      <c r="C274" s="1" t="s">
        <v>526</v>
      </c>
      <c r="D274" s="1">
        <f t="shared" si="2"/>
        <v>0.7472464176</v>
      </c>
      <c r="E274" s="1">
        <v>3.860523</v>
      </c>
      <c r="F274" s="1">
        <v>0.960857</v>
      </c>
      <c r="G274" s="1">
        <v>1.0</v>
      </c>
      <c r="H274" s="1">
        <v>0.3515</v>
      </c>
      <c r="I274" s="1">
        <v>0.4321</v>
      </c>
      <c r="K274" s="1">
        <v>-3.3623910336239105</v>
      </c>
    </row>
    <row r="275" ht="15.75" customHeight="1">
      <c r="A275" s="1" t="s">
        <v>527</v>
      </c>
      <c r="B275" s="1" t="s">
        <v>21</v>
      </c>
      <c r="C275" s="1" t="s">
        <v>528</v>
      </c>
      <c r="D275" s="1">
        <f t="shared" si="2"/>
        <v>0.7472097575</v>
      </c>
      <c r="E275" s="1">
        <v>2.451839</v>
      </c>
      <c r="F275" s="1">
        <v>0.961545</v>
      </c>
      <c r="G275" s="1">
        <v>1.0</v>
      </c>
      <c r="H275" s="1">
        <v>0.3493</v>
      </c>
      <c r="I275" s="1">
        <v>0.4321</v>
      </c>
      <c r="K275" s="1">
        <v>-2.8021015761821366</v>
      </c>
    </row>
    <row r="276" ht="15.75" customHeight="1">
      <c r="A276" s="1" t="s">
        <v>529</v>
      </c>
      <c r="B276" s="1" t="s">
        <v>21</v>
      </c>
      <c r="C276" s="1" t="s">
        <v>530</v>
      </c>
      <c r="D276" s="1">
        <f t="shared" si="2"/>
        <v>0.7472052536</v>
      </c>
      <c r="E276" s="1">
        <v>2.45614</v>
      </c>
      <c r="F276" s="1">
        <v>0.961531</v>
      </c>
      <c r="G276" s="1">
        <v>1.0</v>
      </c>
      <c r="H276" s="1">
        <v>0.3493</v>
      </c>
      <c r="I276" s="1">
        <v>0.4321</v>
      </c>
      <c r="K276" s="1">
        <v>-2.807017543859649</v>
      </c>
    </row>
    <row r="277" ht="15.75" customHeight="1">
      <c r="A277" s="1" t="s">
        <v>531</v>
      </c>
      <c r="B277" s="1" t="s">
        <v>21</v>
      </c>
      <c r="C277" s="1" t="s">
        <v>532</v>
      </c>
      <c r="D277" s="1">
        <f t="shared" si="2"/>
        <v>0.7468936095</v>
      </c>
      <c r="E277" s="1">
        <v>2.746781</v>
      </c>
      <c r="F277" s="1">
        <v>0.960562</v>
      </c>
      <c r="G277" s="1">
        <v>1.0</v>
      </c>
      <c r="H277" s="1">
        <v>0.3493</v>
      </c>
      <c r="I277" s="1">
        <v>0.4321</v>
      </c>
      <c r="K277" s="1">
        <v>-0.4291845493562232</v>
      </c>
    </row>
    <row r="278" ht="15.75" customHeight="1">
      <c r="A278" s="1" t="s">
        <v>533</v>
      </c>
      <c r="B278" s="1" t="s">
        <v>21</v>
      </c>
      <c r="C278" s="1" t="s">
        <v>534</v>
      </c>
      <c r="D278" s="1">
        <f t="shared" si="2"/>
        <v>0.7468051992</v>
      </c>
      <c r="E278" s="1">
        <v>2.829162</v>
      </c>
      <c r="F278" s="1">
        <v>0.960287</v>
      </c>
      <c r="G278" s="1">
        <v>1.0</v>
      </c>
      <c r="H278" s="1">
        <v>0.3493</v>
      </c>
      <c r="I278" s="1">
        <v>0.4321</v>
      </c>
      <c r="K278" s="1">
        <v>-7.290533188248096</v>
      </c>
    </row>
    <row r="279" ht="15.75" customHeight="1">
      <c r="A279" s="1" t="s">
        <v>535</v>
      </c>
      <c r="B279" s="1" t="s">
        <v>16</v>
      </c>
      <c r="C279" s="1" t="s">
        <v>536</v>
      </c>
      <c r="D279" s="1">
        <f t="shared" si="2"/>
        <v>0.7467243624</v>
      </c>
      <c r="E279" s="1">
        <v>0.842697</v>
      </c>
      <c r="F279" s="1">
        <v>0.959817</v>
      </c>
      <c r="G279" s="1">
        <v>1.0</v>
      </c>
      <c r="H279" s="1">
        <v>0.3499</v>
      </c>
      <c r="I279" s="1">
        <v>0.4321</v>
      </c>
      <c r="K279" s="1">
        <v>0.0</v>
      </c>
    </row>
    <row r="280" ht="15.75" customHeight="1">
      <c r="A280" s="1" t="s">
        <v>537</v>
      </c>
      <c r="B280" s="1" t="s">
        <v>21</v>
      </c>
      <c r="C280" s="1" t="s">
        <v>538</v>
      </c>
      <c r="D280" s="1">
        <f t="shared" si="2"/>
        <v>0.7464211888</v>
      </c>
      <c r="E280" s="1">
        <v>3.187919</v>
      </c>
      <c r="F280" s="1">
        <v>0.959092</v>
      </c>
      <c r="G280" s="1">
        <v>1.0</v>
      </c>
      <c r="H280" s="1">
        <v>0.3493</v>
      </c>
      <c r="I280" s="1">
        <v>0.4321</v>
      </c>
      <c r="K280" s="1">
        <v>0.0</v>
      </c>
    </row>
    <row r="281" ht="15.75" customHeight="1">
      <c r="A281" s="1" t="s">
        <v>539</v>
      </c>
      <c r="B281" s="1" t="s">
        <v>21</v>
      </c>
      <c r="C281" s="1" t="s">
        <v>540</v>
      </c>
      <c r="D281" s="1">
        <f t="shared" si="2"/>
        <v>0.7462294495</v>
      </c>
      <c r="E281" s="1">
        <v>3.367003</v>
      </c>
      <c r="F281" s="1">
        <v>0.958495</v>
      </c>
      <c r="G281" s="1">
        <v>1.0</v>
      </c>
      <c r="H281" s="1">
        <v>0.3493</v>
      </c>
      <c r="I281" s="1">
        <v>0.4321</v>
      </c>
      <c r="K281" s="1">
        <v>-3.1986531986531985</v>
      </c>
    </row>
    <row r="282" ht="15.75" customHeight="1">
      <c r="A282" s="1" t="s">
        <v>541</v>
      </c>
      <c r="B282" s="1" t="s">
        <v>49</v>
      </c>
      <c r="C282" s="1" t="s">
        <v>423</v>
      </c>
      <c r="D282" s="1">
        <f t="shared" si="2"/>
        <v>0.746135504</v>
      </c>
      <c r="E282" s="1">
        <v>4.205607</v>
      </c>
      <c r="F282" s="1">
        <v>0.959707</v>
      </c>
      <c r="G282" s="1">
        <v>0.723482</v>
      </c>
      <c r="H282" s="1">
        <v>0.3515</v>
      </c>
      <c r="I282" s="1">
        <v>0.4321</v>
      </c>
      <c r="K282" s="1">
        <v>-4.684975767366721</v>
      </c>
    </row>
    <row r="283" ht="15.75" customHeight="1">
      <c r="A283" s="1" t="s">
        <v>542</v>
      </c>
      <c r="B283" s="1" t="s">
        <v>21</v>
      </c>
      <c r="C283" s="1" t="s">
        <v>505</v>
      </c>
      <c r="D283" s="1">
        <f t="shared" si="2"/>
        <v>0.7460775852</v>
      </c>
      <c r="E283" s="1">
        <v>3.508772</v>
      </c>
      <c r="F283" s="1">
        <v>0.958022</v>
      </c>
      <c r="G283" s="1">
        <v>1.0</v>
      </c>
      <c r="H283" s="1">
        <v>0.3493</v>
      </c>
      <c r="I283" s="1">
        <v>0.4321</v>
      </c>
      <c r="K283" s="1">
        <v>-0.3898635477582846</v>
      </c>
    </row>
    <row r="284" ht="15.75" customHeight="1">
      <c r="A284" s="1" t="s">
        <v>543</v>
      </c>
      <c r="B284" s="1" t="s">
        <v>21</v>
      </c>
      <c r="C284" s="1" t="s">
        <v>544</v>
      </c>
      <c r="D284" s="1">
        <f t="shared" si="2"/>
        <v>0.7460141117</v>
      </c>
      <c r="E284" s="1">
        <v>3.519062</v>
      </c>
      <c r="F284" s="1">
        <v>0.957988</v>
      </c>
      <c r="G284" s="1">
        <v>0.28732</v>
      </c>
      <c r="H284" s="1">
        <v>0.3493</v>
      </c>
      <c r="I284" s="1">
        <v>0.4321</v>
      </c>
      <c r="K284" s="1">
        <v>-0.8176918788329307</v>
      </c>
    </row>
    <row r="285" ht="15.75" customHeight="1">
      <c r="A285" s="1" t="s">
        <v>545</v>
      </c>
      <c r="B285" s="1" t="s">
        <v>16</v>
      </c>
      <c r="C285" s="1" t="s">
        <v>546</v>
      </c>
      <c r="D285" s="1">
        <f t="shared" si="2"/>
        <v>0.7459610871</v>
      </c>
      <c r="E285" s="1">
        <v>1.555556</v>
      </c>
      <c r="F285" s="1">
        <v>0.95744</v>
      </c>
      <c r="G285" s="1">
        <v>1.0</v>
      </c>
      <c r="H285" s="1">
        <v>0.3499</v>
      </c>
      <c r="I285" s="1">
        <v>0.4321</v>
      </c>
      <c r="K285" s="1">
        <v>-0.7777777777777778</v>
      </c>
    </row>
    <row r="286" ht="15.75" customHeight="1">
      <c r="A286" s="1" t="s">
        <v>547</v>
      </c>
      <c r="B286" s="1" t="s">
        <v>16</v>
      </c>
      <c r="C286" s="1" t="s">
        <v>548</v>
      </c>
      <c r="D286" s="1">
        <f t="shared" si="2"/>
        <v>0.7458600213</v>
      </c>
      <c r="E286" s="1">
        <v>1.650165</v>
      </c>
      <c r="F286" s="1">
        <v>0.957125</v>
      </c>
      <c r="G286" s="1">
        <v>1.0</v>
      </c>
      <c r="H286" s="1">
        <v>0.3499</v>
      </c>
      <c r="I286" s="1">
        <v>0.4321</v>
      </c>
      <c r="K286" s="1">
        <v>-4.62046204620462</v>
      </c>
    </row>
    <row r="287" ht="15.75" customHeight="1">
      <c r="A287" s="1" t="s">
        <v>549</v>
      </c>
      <c r="B287" s="1" t="s">
        <v>16</v>
      </c>
      <c r="C287" s="1" t="s">
        <v>487</v>
      </c>
      <c r="D287" s="1">
        <f t="shared" si="2"/>
        <v>0.7458253747</v>
      </c>
      <c r="E287" s="1">
        <v>1.682692</v>
      </c>
      <c r="F287" s="1">
        <v>0.957017</v>
      </c>
      <c r="G287" s="1">
        <v>1.0</v>
      </c>
      <c r="H287" s="1">
        <v>0.3499</v>
      </c>
      <c r="I287" s="1">
        <v>0.4321</v>
      </c>
      <c r="K287" s="1">
        <v>-5.528846153846154</v>
      </c>
    </row>
    <row r="288" ht="15.75" customHeight="1">
      <c r="A288" s="1" t="s">
        <v>550</v>
      </c>
      <c r="B288" s="1" t="s">
        <v>16</v>
      </c>
      <c r="C288" s="1" t="s">
        <v>551</v>
      </c>
      <c r="D288" s="1">
        <f t="shared" si="2"/>
        <v>0.7455710493</v>
      </c>
      <c r="E288" s="1">
        <v>1.920439</v>
      </c>
      <c r="F288" s="1">
        <v>0.956224</v>
      </c>
      <c r="G288" s="1">
        <v>1.0</v>
      </c>
      <c r="H288" s="1">
        <v>0.3499</v>
      </c>
      <c r="I288" s="1">
        <v>0.4321</v>
      </c>
      <c r="K288" s="1">
        <v>-1.0973936899862826</v>
      </c>
    </row>
    <row r="289" ht="15.75" customHeight="1">
      <c r="A289" s="1" t="s">
        <v>552</v>
      </c>
      <c r="B289" s="1" t="s">
        <v>21</v>
      </c>
      <c r="C289" s="1" t="s">
        <v>553</v>
      </c>
      <c r="D289" s="1">
        <f t="shared" si="2"/>
        <v>0.7455337402</v>
      </c>
      <c r="E289" s="1">
        <v>4.017217</v>
      </c>
      <c r="F289" s="1">
        <v>0.956327</v>
      </c>
      <c r="G289" s="1">
        <v>1.0</v>
      </c>
      <c r="H289" s="1">
        <v>0.3493</v>
      </c>
      <c r="I289" s="1">
        <v>0.4321</v>
      </c>
      <c r="K289" s="1">
        <v>-1.0043041606886658</v>
      </c>
    </row>
    <row r="290" ht="15.75" customHeight="1">
      <c r="A290" s="1" t="s">
        <v>554</v>
      </c>
      <c r="B290" s="1" t="s">
        <v>21</v>
      </c>
      <c r="C290" s="1" t="s">
        <v>555</v>
      </c>
      <c r="D290" s="1">
        <f t="shared" si="2"/>
        <v>0.7454025964</v>
      </c>
      <c r="E290" s="1">
        <v>4.140127</v>
      </c>
      <c r="F290" s="1">
        <v>0.955918</v>
      </c>
      <c r="G290" s="1">
        <v>1.0</v>
      </c>
      <c r="H290" s="1">
        <v>0.3493</v>
      </c>
      <c r="I290" s="1">
        <v>0.4321</v>
      </c>
      <c r="K290" s="1">
        <v>-5.095541401273885</v>
      </c>
    </row>
    <row r="291" ht="15.75" customHeight="1">
      <c r="A291" s="1" t="s">
        <v>556</v>
      </c>
      <c r="B291" s="1" t="s">
        <v>16</v>
      </c>
      <c r="C291" s="1" t="s">
        <v>557</v>
      </c>
      <c r="D291" s="1">
        <f t="shared" si="2"/>
        <v>0.745063732</v>
      </c>
      <c r="E291" s="1">
        <v>2.39521</v>
      </c>
      <c r="F291" s="1">
        <v>0.954641</v>
      </c>
      <c r="G291" s="1">
        <v>1.0</v>
      </c>
      <c r="H291" s="1">
        <v>0.3499</v>
      </c>
      <c r="I291" s="1">
        <v>0.4321</v>
      </c>
      <c r="K291" s="1">
        <v>-3.9520958083832336</v>
      </c>
    </row>
    <row r="292" ht="15.75" customHeight="1">
      <c r="A292" s="1" t="s">
        <v>558</v>
      </c>
      <c r="B292" s="1" t="s">
        <v>16</v>
      </c>
      <c r="C292" s="1" t="s">
        <v>528</v>
      </c>
      <c r="D292" s="1">
        <f t="shared" si="2"/>
        <v>0.745003515</v>
      </c>
      <c r="E292" s="1">
        <v>2.451839</v>
      </c>
      <c r="F292" s="1">
        <v>0.954453</v>
      </c>
      <c r="G292" s="1">
        <v>1.0</v>
      </c>
      <c r="H292" s="1">
        <v>0.3499</v>
      </c>
      <c r="I292" s="1">
        <v>0.4321</v>
      </c>
      <c r="K292" s="1">
        <v>-4.553415061295972</v>
      </c>
    </row>
    <row r="293" ht="15.75" customHeight="1">
      <c r="A293" s="1" t="s">
        <v>559</v>
      </c>
      <c r="B293" s="1" t="s">
        <v>16</v>
      </c>
      <c r="C293" s="1" t="s">
        <v>560</v>
      </c>
      <c r="D293" s="1">
        <f t="shared" si="2"/>
        <v>0.7441714442</v>
      </c>
      <c r="E293" s="1">
        <v>3.231764</v>
      </c>
      <c r="F293" s="1">
        <v>0.951853</v>
      </c>
      <c r="G293" s="1">
        <v>1.0</v>
      </c>
      <c r="H293" s="1">
        <v>0.3499</v>
      </c>
      <c r="I293" s="1">
        <v>0.4321</v>
      </c>
      <c r="K293" s="1">
        <v>-4.7091412742382275</v>
      </c>
    </row>
    <row r="294" ht="15.75" customHeight="1">
      <c r="A294" s="1" t="s">
        <v>561</v>
      </c>
      <c r="B294" s="1" t="s">
        <v>16</v>
      </c>
      <c r="C294" s="1" t="s">
        <v>562</v>
      </c>
      <c r="D294" s="1">
        <f t="shared" si="2"/>
        <v>0.7438287656</v>
      </c>
      <c r="E294" s="1">
        <v>3.553299</v>
      </c>
      <c r="F294" s="1">
        <v>0.950781</v>
      </c>
      <c r="G294" s="1">
        <v>1.0</v>
      </c>
      <c r="H294" s="1">
        <v>0.3499</v>
      </c>
      <c r="I294" s="1">
        <v>0.4321</v>
      </c>
      <c r="K294" s="1">
        <v>-2.66497461928934</v>
      </c>
    </row>
    <row r="295" ht="15.75" customHeight="1">
      <c r="A295" s="1" t="s">
        <v>563</v>
      </c>
      <c r="B295" s="1" t="s">
        <v>24</v>
      </c>
      <c r="C295" s="1" t="s">
        <v>564</v>
      </c>
      <c r="D295" s="1">
        <f t="shared" si="2"/>
        <v>0.743716959</v>
      </c>
      <c r="E295" s="1">
        <v>1.529903</v>
      </c>
      <c r="F295" s="1">
        <v>0.950872</v>
      </c>
      <c r="G295" s="1">
        <v>1.0</v>
      </c>
      <c r="H295" s="1">
        <v>0.3487</v>
      </c>
      <c r="I295" s="1">
        <v>0.4321</v>
      </c>
      <c r="K295" s="1">
        <v>0.0</v>
      </c>
    </row>
    <row r="296" ht="15.75" customHeight="1">
      <c r="A296" s="1" t="s">
        <v>565</v>
      </c>
      <c r="B296" s="1" t="s">
        <v>24</v>
      </c>
      <c r="C296" s="1" t="s">
        <v>566</v>
      </c>
      <c r="D296" s="1">
        <f t="shared" si="2"/>
        <v>0.7434747328</v>
      </c>
      <c r="E296" s="1">
        <v>1.757322</v>
      </c>
      <c r="F296" s="1">
        <v>0.950114</v>
      </c>
      <c r="G296" s="1">
        <v>1.0</v>
      </c>
      <c r="H296" s="1">
        <v>0.3487</v>
      </c>
      <c r="I296" s="1">
        <v>0.4321</v>
      </c>
      <c r="K296" s="1">
        <v>0.0</v>
      </c>
    </row>
    <row r="297" ht="15.75" customHeight="1">
      <c r="A297" s="1" t="s">
        <v>567</v>
      </c>
      <c r="B297" s="1" t="s">
        <v>21</v>
      </c>
      <c r="C297" s="1" t="s">
        <v>568</v>
      </c>
      <c r="D297" s="1">
        <f t="shared" si="2"/>
        <v>0.743220582</v>
      </c>
      <c r="E297" s="1">
        <v>2.98913</v>
      </c>
      <c r="F297" s="1">
        <v>0.959754</v>
      </c>
      <c r="G297" s="1">
        <v>0.834376</v>
      </c>
      <c r="H297" s="1">
        <v>0.3493</v>
      </c>
      <c r="I297" s="1">
        <v>0.4321</v>
      </c>
      <c r="K297" s="1">
        <v>0.6116852984602404</v>
      </c>
    </row>
    <row r="298" ht="15.75" customHeight="1">
      <c r="A298" s="1" t="s">
        <v>569</v>
      </c>
      <c r="B298" s="1" t="s">
        <v>45</v>
      </c>
      <c r="C298" s="1" t="s">
        <v>477</v>
      </c>
      <c r="D298" s="1">
        <f t="shared" si="2"/>
        <v>0.7427240415</v>
      </c>
      <c r="E298" s="1">
        <v>0.425532</v>
      </c>
      <c r="F298" s="1">
        <v>0.940488</v>
      </c>
      <c r="G298" s="1">
        <v>0.735035</v>
      </c>
      <c r="H298" s="1">
        <v>0.3552</v>
      </c>
      <c r="I298" s="1">
        <v>0.5969</v>
      </c>
      <c r="J298" s="1" t="s">
        <v>47</v>
      </c>
      <c r="K298" s="1">
        <v>0.18839103869653767</v>
      </c>
    </row>
    <row r="299" ht="15.75" customHeight="1">
      <c r="A299" s="1" t="s">
        <v>570</v>
      </c>
      <c r="B299" s="1" t="s">
        <v>24</v>
      </c>
      <c r="C299" s="1" t="s">
        <v>571</v>
      </c>
      <c r="D299" s="1">
        <f t="shared" si="2"/>
        <v>0.7426323073</v>
      </c>
      <c r="E299" s="1">
        <v>2.548853</v>
      </c>
      <c r="F299" s="1">
        <v>0.947475</v>
      </c>
      <c r="G299" s="1">
        <v>1.0</v>
      </c>
      <c r="H299" s="1">
        <v>0.3487</v>
      </c>
      <c r="I299" s="1">
        <v>0.4321</v>
      </c>
      <c r="K299" s="1">
        <v>0.0</v>
      </c>
    </row>
    <row r="300" ht="15.75" customHeight="1">
      <c r="A300" s="1" t="s">
        <v>572</v>
      </c>
      <c r="B300" s="1" t="s">
        <v>24</v>
      </c>
      <c r="C300" s="1" t="s">
        <v>573</v>
      </c>
      <c r="D300" s="1">
        <f t="shared" si="2"/>
        <v>0.74229528</v>
      </c>
      <c r="E300" s="1">
        <v>2.865916</v>
      </c>
      <c r="F300" s="1">
        <v>0.946418</v>
      </c>
      <c r="G300" s="1">
        <v>1.0</v>
      </c>
      <c r="H300" s="1">
        <v>0.3487</v>
      </c>
      <c r="I300" s="1">
        <v>0.4321</v>
      </c>
      <c r="K300" s="1">
        <v>0.0</v>
      </c>
    </row>
    <row r="301" ht="15.75" customHeight="1">
      <c r="A301" s="1" t="s">
        <v>574</v>
      </c>
      <c r="B301" s="1" t="s">
        <v>24</v>
      </c>
      <c r="C301" s="1" t="s">
        <v>575</v>
      </c>
      <c r="D301" s="1">
        <f t="shared" si="2"/>
        <v>0.7421091657</v>
      </c>
      <c r="E301" s="1">
        <v>3.041145</v>
      </c>
      <c r="F301" s="1">
        <v>0.945834</v>
      </c>
      <c r="G301" s="1">
        <v>1.0</v>
      </c>
      <c r="H301" s="1">
        <v>0.3487</v>
      </c>
      <c r="I301" s="1">
        <v>0.4321</v>
      </c>
      <c r="K301" s="1">
        <v>-1.3678905687544995</v>
      </c>
    </row>
    <row r="302" ht="15.75" customHeight="1">
      <c r="A302" s="1" t="s">
        <v>576</v>
      </c>
      <c r="B302" s="1" t="s">
        <v>24</v>
      </c>
      <c r="C302" s="1" t="s">
        <v>577</v>
      </c>
      <c r="D302" s="1">
        <f t="shared" si="2"/>
        <v>0.7419186606</v>
      </c>
      <c r="E302" s="1">
        <v>3.220612</v>
      </c>
      <c r="F302" s="1">
        <v>0.945236</v>
      </c>
      <c r="G302" s="1">
        <v>1.0</v>
      </c>
      <c r="H302" s="1">
        <v>0.3487</v>
      </c>
      <c r="I302" s="1">
        <v>0.4321</v>
      </c>
      <c r="K302" s="1">
        <v>-2.576489533011272</v>
      </c>
    </row>
    <row r="303" ht="15.75" customHeight="1">
      <c r="A303" s="1" t="s">
        <v>578</v>
      </c>
      <c r="B303" s="1" t="s">
        <v>24</v>
      </c>
      <c r="C303" s="1" t="s">
        <v>579</v>
      </c>
      <c r="D303" s="1">
        <f t="shared" si="2"/>
        <v>0.7418495485</v>
      </c>
      <c r="E303" s="1">
        <v>3.285594</v>
      </c>
      <c r="F303" s="1">
        <v>0.945019</v>
      </c>
      <c r="G303" s="1">
        <v>1.0</v>
      </c>
      <c r="H303" s="1">
        <v>0.3487</v>
      </c>
      <c r="I303" s="1">
        <v>0.4321</v>
      </c>
      <c r="K303" s="1">
        <v>0.0</v>
      </c>
    </row>
    <row r="304" ht="15.75" customHeight="1">
      <c r="A304" s="1" t="s">
        <v>580</v>
      </c>
      <c r="B304" s="1" t="s">
        <v>24</v>
      </c>
      <c r="C304" s="1" t="s">
        <v>581</v>
      </c>
      <c r="D304" s="1">
        <f t="shared" si="2"/>
        <v>0.7417871328</v>
      </c>
      <c r="E304" s="1">
        <v>3.344482</v>
      </c>
      <c r="F304" s="1">
        <v>0.944823</v>
      </c>
      <c r="G304" s="1">
        <v>1.0</v>
      </c>
      <c r="H304" s="1">
        <v>0.3487</v>
      </c>
      <c r="I304" s="1">
        <v>0.4321</v>
      </c>
      <c r="K304" s="1">
        <v>-0.21208907741251326</v>
      </c>
    </row>
    <row r="305" ht="15.75" customHeight="1">
      <c r="A305" s="1" t="s">
        <v>582</v>
      </c>
      <c r="B305" s="1" t="s">
        <v>16</v>
      </c>
      <c r="C305" s="1" t="s">
        <v>583</v>
      </c>
      <c r="D305" s="1">
        <f t="shared" si="2"/>
        <v>0.7417412209</v>
      </c>
      <c r="E305" s="1">
        <v>5.517241</v>
      </c>
      <c r="F305" s="1">
        <v>0.944235</v>
      </c>
      <c r="G305" s="1">
        <v>1.0</v>
      </c>
      <c r="H305" s="1">
        <v>0.3499</v>
      </c>
      <c r="I305" s="1">
        <v>0.4321</v>
      </c>
      <c r="K305" s="1">
        <v>-4.827586206896552</v>
      </c>
    </row>
    <row r="306" ht="15.75" customHeight="1">
      <c r="A306" s="1" t="s">
        <v>584</v>
      </c>
      <c r="B306" s="1" t="s">
        <v>24</v>
      </c>
      <c r="C306" s="1" t="s">
        <v>585</v>
      </c>
      <c r="D306" s="1">
        <f t="shared" si="2"/>
        <v>0.7415146319</v>
      </c>
      <c r="E306" s="1">
        <v>3.601441</v>
      </c>
      <c r="F306" s="1">
        <v>0.943967</v>
      </c>
      <c r="G306" s="1">
        <v>1.0</v>
      </c>
      <c r="H306" s="1">
        <v>0.3487</v>
      </c>
      <c r="I306" s="1">
        <v>0.4321</v>
      </c>
      <c r="K306" s="1">
        <v>-1.6206482593037215</v>
      </c>
    </row>
    <row r="307" ht="15.75" customHeight="1">
      <c r="A307" s="1" t="s">
        <v>586</v>
      </c>
      <c r="B307" s="1" t="s">
        <v>24</v>
      </c>
      <c r="C307" s="1" t="s">
        <v>587</v>
      </c>
      <c r="D307" s="1">
        <f t="shared" si="2"/>
        <v>0.7412928559</v>
      </c>
      <c r="E307" s="1">
        <v>3.810505</v>
      </c>
      <c r="F307" s="1">
        <v>0.94327</v>
      </c>
      <c r="G307" s="1">
        <v>1.0</v>
      </c>
      <c r="H307" s="1">
        <v>0.3487</v>
      </c>
      <c r="I307" s="1">
        <v>0.4321</v>
      </c>
      <c r="K307" s="1">
        <v>-0.44802867383512546</v>
      </c>
    </row>
    <row r="308" ht="15.75" customHeight="1">
      <c r="A308" s="1" t="s">
        <v>588</v>
      </c>
      <c r="B308" s="1" t="s">
        <v>24</v>
      </c>
      <c r="C308" s="1" t="s">
        <v>589</v>
      </c>
      <c r="D308" s="1">
        <f t="shared" si="2"/>
        <v>0.7411688057</v>
      </c>
      <c r="E308" s="1">
        <v>3.927492</v>
      </c>
      <c r="F308" s="1">
        <v>0.94288</v>
      </c>
      <c r="G308" s="1">
        <v>1.0</v>
      </c>
      <c r="H308" s="1">
        <v>0.3487</v>
      </c>
      <c r="I308" s="1">
        <v>0.4321</v>
      </c>
      <c r="K308" s="1">
        <v>-1.8126888217522659</v>
      </c>
    </row>
    <row r="309" ht="15.75" customHeight="1">
      <c r="A309" s="1" t="s">
        <v>590</v>
      </c>
      <c r="B309" s="1" t="s">
        <v>24</v>
      </c>
      <c r="C309" s="1" t="s">
        <v>591</v>
      </c>
      <c r="D309" s="1">
        <f t="shared" si="2"/>
        <v>0.7389186614</v>
      </c>
      <c r="E309" s="1">
        <v>6.054688</v>
      </c>
      <c r="F309" s="1">
        <v>0.935789</v>
      </c>
      <c r="G309" s="1">
        <v>1.0</v>
      </c>
      <c r="H309" s="1">
        <v>0.3487</v>
      </c>
      <c r="I309" s="1">
        <v>0.4321</v>
      </c>
      <c r="K309" s="1">
        <v>-5.6640625</v>
      </c>
    </row>
    <row r="310" ht="15.75" customHeight="1">
      <c r="A310" s="1" t="s">
        <v>592</v>
      </c>
      <c r="B310" s="1" t="s">
        <v>49</v>
      </c>
      <c r="C310" s="1" t="s">
        <v>277</v>
      </c>
      <c r="D310" s="1">
        <f t="shared" si="2"/>
        <v>0.73891583</v>
      </c>
      <c r="E310" s="1">
        <v>0.552486</v>
      </c>
      <c r="F310" s="1">
        <v>0.971884</v>
      </c>
      <c r="G310" s="1">
        <v>0.236568</v>
      </c>
      <c r="H310" s="1">
        <v>0.3515</v>
      </c>
      <c r="I310" s="1">
        <v>0.4321</v>
      </c>
      <c r="K310" s="1">
        <v>0.43795620437956206</v>
      </c>
    </row>
    <row r="311" ht="15.75" customHeight="1">
      <c r="A311" s="1" t="s">
        <v>593</v>
      </c>
      <c r="B311" s="1" t="s">
        <v>21</v>
      </c>
      <c r="C311" s="1" t="s">
        <v>594</v>
      </c>
      <c r="D311" s="1">
        <f t="shared" si="2"/>
        <v>0.73572059</v>
      </c>
      <c r="E311" s="1">
        <v>10.416667</v>
      </c>
      <c r="F311" s="1">
        <v>0.934996</v>
      </c>
      <c r="G311" s="1">
        <v>0.441853</v>
      </c>
      <c r="H311" s="1">
        <v>0.3493</v>
      </c>
      <c r="I311" s="1">
        <v>0.4321</v>
      </c>
      <c r="K311" s="1">
        <v>0.6116852984602404</v>
      </c>
    </row>
    <row r="312" ht="15.75" customHeight="1">
      <c r="A312" s="1" t="s">
        <v>595</v>
      </c>
      <c r="B312" s="1" t="s">
        <v>12</v>
      </c>
      <c r="C312" s="1" t="s">
        <v>596</v>
      </c>
      <c r="D312" s="1">
        <f t="shared" si="2"/>
        <v>0.7315586103</v>
      </c>
      <c r="E312" s="1">
        <v>8.695652</v>
      </c>
      <c r="F312" s="1">
        <v>0.950686</v>
      </c>
      <c r="G312" s="1">
        <v>0.202186</v>
      </c>
      <c r="H312" s="1">
        <v>0.3313</v>
      </c>
      <c r="I312" s="1">
        <v>0.4693</v>
      </c>
      <c r="J312" s="1" t="s">
        <v>14</v>
      </c>
      <c r="K312" s="1">
        <v>-0.21595356998245377</v>
      </c>
    </row>
    <row r="313" ht="15.75" customHeight="1">
      <c r="A313" s="1" t="s">
        <v>597</v>
      </c>
      <c r="B313" s="1" t="s">
        <v>36</v>
      </c>
      <c r="C313" s="1" t="s">
        <v>598</v>
      </c>
      <c r="D313" s="1">
        <f t="shared" si="2"/>
        <v>0.7314360999</v>
      </c>
      <c r="E313" s="1">
        <v>2.623907</v>
      </c>
      <c r="F313" s="1">
        <v>0.906695</v>
      </c>
      <c r="G313" s="1">
        <v>1.0</v>
      </c>
      <c r="H313" s="1">
        <v>0.3622</v>
      </c>
      <c r="I313" s="1">
        <v>0.4321</v>
      </c>
      <c r="K313" s="1">
        <v>-3.206997084548105</v>
      </c>
    </row>
    <row r="314" ht="15.75" customHeight="1">
      <c r="A314" s="1" t="s">
        <v>599</v>
      </c>
      <c r="B314" s="1" t="s">
        <v>111</v>
      </c>
      <c r="C314" s="1" t="s">
        <v>600</v>
      </c>
      <c r="D314" s="1">
        <f t="shared" si="2"/>
        <v>0.7277505953</v>
      </c>
      <c r="E314" s="1">
        <v>0.0</v>
      </c>
      <c r="F314" s="1">
        <v>0.97731</v>
      </c>
      <c r="G314" s="1">
        <v>1.0</v>
      </c>
      <c r="H314" s="1">
        <v>0.3322</v>
      </c>
      <c r="I314" s="1">
        <v>0.2302</v>
      </c>
      <c r="J314" s="1" t="s">
        <v>112</v>
      </c>
      <c r="K314" s="1">
        <v>0.0</v>
      </c>
    </row>
    <row r="315" ht="15.75" customHeight="1">
      <c r="A315" s="1" t="s">
        <v>601</v>
      </c>
      <c r="B315" s="1" t="s">
        <v>111</v>
      </c>
      <c r="C315" s="1" t="s">
        <v>602</v>
      </c>
      <c r="D315" s="1">
        <f t="shared" si="2"/>
        <v>0.7277505953</v>
      </c>
      <c r="E315" s="1">
        <v>0.0</v>
      </c>
      <c r="F315" s="1">
        <v>0.97731</v>
      </c>
      <c r="G315" s="1">
        <v>1.0</v>
      </c>
      <c r="H315" s="1">
        <v>0.3322</v>
      </c>
      <c r="I315" s="1">
        <v>0.2302</v>
      </c>
      <c r="J315" s="1" t="s">
        <v>112</v>
      </c>
      <c r="K315" s="1">
        <v>0.0</v>
      </c>
    </row>
    <row r="316" ht="15.75" customHeight="1">
      <c r="A316" s="1" t="s">
        <v>603</v>
      </c>
      <c r="B316" s="1" t="s">
        <v>45</v>
      </c>
      <c r="C316" s="1" t="s">
        <v>604</v>
      </c>
      <c r="D316" s="1">
        <f t="shared" si="2"/>
        <v>0.7265180124</v>
      </c>
      <c r="E316" s="1">
        <v>5.117271</v>
      </c>
      <c r="F316" s="1">
        <v>0.924849</v>
      </c>
      <c r="G316" s="1">
        <v>0.650208</v>
      </c>
      <c r="H316" s="1">
        <v>0.3552</v>
      </c>
      <c r="I316" s="1">
        <v>0.5969</v>
      </c>
      <c r="J316" s="1" t="s">
        <v>47</v>
      </c>
      <c r="K316" s="1">
        <v>0.42643923240938164</v>
      </c>
    </row>
    <row r="317" ht="15.75" customHeight="1">
      <c r="A317" s="1" t="s">
        <v>605</v>
      </c>
      <c r="B317" s="1" t="s">
        <v>111</v>
      </c>
      <c r="C317" s="1" t="s">
        <v>606</v>
      </c>
      <c r="D317" s="1">
        <f t="shared" si="2"/>
        <v>0.7249010614</v>
      </c>
      <c r="E317" s="1">
        <v>2.552553</v>
      </c>
      <c r="F317" s="1">
        <v>0.968802</v>
      </c>
      <c r="G317" s="1">
        <v>1.0</v>
      </c>
      <c r="H317" s="1">
        <v>0.3322</v>
      </c>
      <c r="I317" s="1">
        <v>0.2302</v>
      </c>
      <c r="J317" s="1" t="s">
        <v>112</v>
      </c>
      <c r="K317" s="1">
        <v>-3.3033033033033035</v>
      </c>
    </row>
    <row r="318" ht="15.75" customHeight="1">
      <c r="A318" s="1" t="s">
        <v>607</v>
      </c>
      <c r="B318" s="1" t="s">
        <v>24</v>
      </c>
      <c r="C318" s="1" t="s">
        <v>608</v>
      </c>
      <c r="D318" s="1">
        <f t="shared" si="2"/>
        <v>0.7210642168</v>
      </c>
      <c r="E318" s="1">
        <v>0.0</v>
      </c>
      <c r="F318" s="1">
        <v>0.955971</v>
      </c>
      <c r="G318" s="1">
        <v>0.56581</v>
      </c>
      <c r="H318" s="1">
        <v>0.3487</v>
      </c>
      <c r="I318" s="1">
        <v>0.4321</v>
      </c>
      <c r="K318" s="1">
        <v>0.0</v>
      </c>
    </row>
    <row r="319" ht="15.75" customHeight="1">
      <c r="A319" s="1" t="s">
        <v>609</v>
      </c>
      <c r="B319" s="1" t="s">
        <v>49</v>
      </c>
      <c r="C319" s="1" t="s">
        <v>610</v>
      </c>
      <c r="D319" s="1">
        <f t="shared" si="2"/>
        <v>0.7192935097</v>
      </c>
      <c r="E319" s="1">
        <v>4.336043</v>
      </c>
      <c r="F319" s="1">
        <v>0.959272</v>
      </c>
      <c r="G319" s="1">
        <v>0.317091</v>
      </c>
      <c r="H319" s="1">
        <v>0.3515</v>
      </c>
      <c r="I319" s="1">
        <v>0.4321</v>
      </c>
      <c r="K319" s="1">
        <v>-0.46073074038358514</v>
      </c>
    </row>
    <row r="320" ht="15.75" customHeight="1">
      <c r="A320" s="1" t="s">
        <v>611</v>
      </c>
      <c r="B320" s="1" t="s">
        <v>12</v>
      </c>
      <c r="C320" s="1" t="s">
        <v>612</v>
      </c>
      <c r="D320" s="1">
        <f t="shared" si="2"/>
        <v>0.7171080566</v>
      </c>
      <c r="E320" s="1">
        <v>3.045685</v>
      </c>
      <c r="F320" s="1">
        <v>0.969519</v>
      </c>
      <c r="G320" s="1">
        <v>0.410187</v>
      </c>
      <c r="H320" s="1">
        <v>0.3313</v>
      </c>
      <c r="I320" s="1">
        <v>0.4693</v>
      </c>
      <c r="J320" s="1" t="s">
        <v>14</v>
      </c>
      <c r="K320" s="1">
        <v>-0.21595356998245377</v>
      </c>
    </row>
    <row r="321" ht="15.75" customHeight="1">
      <c r="A321" s="1" t="s">
        <v>613</v>
      </c>
      <c r="B321" s="1" t="s">
        <v>49</v>
      </c>
      <c r="C321" s="1" t="s">
        <v>614</v>
      </c>
      <c r="D321" s="1">
        <f t="shared" si="2"/>
        <v>0.7123939446</v>
      </c>
      <c r="E321" s="1">
        <v>5.042017</v>
      </c>
      <c r="F321" s="1">
        <v>0.956919</v>
      </c>
      <c r="G321" s="1">
        <v>0.172719</v>
      </c>
      <c r="H321" s="1">
        <v>0.3515</v>
      </c>
      <c r="I321" s="1">
        <v>0.4321</v>
      </c>
      <c r="K321" s="1">
        <v>-0.46073074038358514</v>
      </c>
    </row>
    <row r="322" ht="15.75" customHeight="1">
      <c r="A322" s="1" t="s">
        <v>615</v>
      </c>
      <c r="B322" s="1" t="s">
        <v>24</v>
      </c>
      <c r="C322" s="1" t="s">
        <v>616</v>
      </c>
      <c r="D322" s="1">
        <f t="shared" si="2"/>
        <v>0.7095241912</v>
      </c>
      <c r="E322" s="1">
        <v>1.655629</v>
      </c>
      <c r="F322" s="1">
        <v>0.950453</v>
      </c>
      <c r="G322" s="1">
        <v>0.823257</v>
      </c>
      <c r="H322" s="1">
        <v>0.3487</v>
      </c>
      <c r="I322" s="1">
        <v>0.4321</v>
      </c>
      <c r="K322" s="1">
        <v>0.18839103869653767</v>
      </c>
    </row>
    <row r="323" ht="15.75" customHeight="1">
      <c r="A323" s="1" t="s">
        <v>617</v>
      </c>
      <c r="B323" s="1" t="s">
        <v>45</v>
      </c>
      <c r="C323" s="1" t="s">
        <v>618</v>
      </c>
      <c r="D323" s="1">
        <f t="shared" si="2"/>
        <v>0.7063898287</v>
      </c>
      <c r="E323" s="1">
        <v>0.0</v>
      </c>
      <c r="F323" s="1">
        <v>0.941907</v>
      </c>
      <c r="G323" s="1">
        <v>0.698543</v>
      </c>
      <c r="H323" s="1">
        <v>0.3552</v>
      </c>
      <c r="I323" s="1">
        <v>0.5969</v>
      </c>
      <c r="J323" s="1" t="s">
        <v>47</v>
      </c>
      <c r="K323" s="1">
        <v>0.18839103869653767</v>
      </c>
    </row>
    <row r="324" ht="15.75" customHeight="1">
      <c r="A324" s="1" t="s">
        <v>619</v>
      </c>
      <c r="B324" s="1" t="s">
        <v>21</v>
      </c>
      <c r="C324" s="1" t="s">
        <v>620</v>
      </c>
      <c r="D324" s="1">
        <f t="shared" si="2"/>
        <v>0.7022767043</v>
      </c>
      <c r="E324" s="1">
        <v>4.040404</v>
      </c>
      <c r="F324" s="1">
        <v>0.95625</v>
      </c>
      <c r="G324" s="1">
        <v>0.291761</v>
      </c>
      <c r="H324" s="1">
        <v>0.3493</v>
      </c>
      <c r="I324" s="1">
        <v>0.4321</v>
      </c>
      <c r="K324" s="1">
        <v>0.5465547530743705</v>
      </c>
    </row>
    <row r="325" ht="15.75" customHeight="1">
      <c r="A325" s="1" t="s">
        <v>621</v>
      </c>
      <c r="B325" s="1" t="s">
        <v>21</v>
      </c>
      <c r="C325" s="1" t="s">
        <v>622</v>
      </c>
      <c r="D325" s="1">
        <f t="shared" si="2"/>
        <v>0.7014081821</v>
      </c>
      <c r="E325" s="1">
        <v>0.0</v>
      </c>
      <c r="F325" s="1">
        <v>0.969718</v>
      </c>
      <c r="G325" s="1">
        <v>0.727055</v>
      </c>
      <c r="H325" s="1">
        <v>0.3493</v>
      </c>
      <c r="I325" s="1">
        <v>0.4321</v>
      </c>
      <c r="K325" s="1">
        <v>0.6116852984602404</v>
      </c>
    </row>
    <row r="326" ht="15.75" customHeight="1">
      <c r="A326" s="1" t="s">
        <v>623</v>
      </c>
      <c r="B326" s="1" t="s">
        <v>21</v>
      </c>
      <c r="C326" s="1" t="s">
        <v>624</v>
      </c>
      <c r="D326" s="1">
        <f t="shared" si="2"/>
        <v>0.7009918076</v>
      </c>
      <c r="E326" s="1">
        <v>4.050633</v>
      </c>
      <c r="F326" s="1">
        <v>0.956216</v>
      </c>
      <c r="G326" s="1">
        <v>0.394888</v>
      </c>
      <c r="H326" s="1">
        <v>0.3493</v>
      </c>
      <c r="I326" s="1">
        <v>0.4321</v>
      </c>
      <c r="K326" s="1">
        <v>-0.8176918788329307</v>
      </c>
    </row>
    <row r="327" ht="15.75" customHeight="1">
      <c r="A327" s="1" t="s">
        <v>625</v>
      </c>
      <c r="B327" s="1" t="s">
        <v>36</v>
      </c>
      <c r="C327" s="1" t="s">
        <v>626</v>
      </c>
      <c r="D327" s="1">
        <f t="shared" si="2"/>
        <v>0.6996946765</v>
      </c>
      <c r="E327" s="1">
        <v>1.474201</v>
      </c>
      <c r="F327" s="1">
        <v>0.910527</v>
      </c>
      <c r="G327" s="1">
        <v>0.411856</v>
      </c>
      <c r="H327" s="1">
        <v>0.3622</v>
      </c>
      <c r="I327" s="1">
        <v>0.4321</v>
      </c>
      <c r="K327" s="1">
        <v>0.9982638888888888</v>
      </c>
    </row>
    <row r="328" ht="15.75" customHeight="1">
      <c r="A328" s="1" t="s">
        <v>627</v>
      </c>
      <c r="B328" s="1" t="s">
        <v>45</v>
      </c>
      <c r="C328" s="1" t="s">
        <v>479</v>
      </c>
      <c r="D328" s="1">
        <f t="shared" si="2"/>
        <v>0.6982130412</v>
      </c>
      <c r="E328" s="1">
        <v>0.0</v>
      </c>
      <c r="F328" s="1">
        <v>0.941907</v>
      </c>
      <c r="G328" s="1">
        <v>0.693446</v>
      </c>
      <c r="H328" s="1">
        <v>0.3552</v>
      </c>
      <c r="I328" s="1">
        <v>0.5969</v>
      </c>
      <c r="J328" s="1" t="s">
        <v>47</v>
      </c>
      <c r="K328" s="1">
        <v>0.0</v>
      </c>
    </row>
    <row r="329" ht="15.75" customHeight="1">
      <c r="A329" s="1" t="s">
        <v>628</v>
      </c>
      <c r="B329" s="1" t="s">
        <v>16</v>
      </c>
      <c r="C329" s="1" t="s">
        <v>629</v>
      </c>
      <c r="D329" s="1">
        <f t="shared" si="2"/>
        <v>0.6931869483</v>
      </c>
      <c r="E329" s="1">
        <v>0.0</v>
      </c>
      <c r="F329" s="1">
        <v>0.962626</v>
      </c>
      <c r="G329" s="1">
        <v>0.644552</v>
      </c>
      <c r="H329" s="1">
        <v>0.3499</v>
      </c>
      <c r="I329" s="1">
        <v>0.4321</v>
      </c>
      <c r="K329" s="1">
        <v>0.6116852984602404</v>
      </c>
    </row>
    <row r="330" ht="15.75" customHeight="1">
      <c r="A330" s="1" t="s">
        <v>630</v>
      </c>
      <c r="B330" s="1" t="s">
        <v>12</v>
      </c>
      <c r="C330" s="1" t="s">
        <v>631</v>
      </c>
      <c r="D330" s="1">
        <f t="shared" si="2"/>
        <v>0.6876737767</v>
      </c>
      <c r="E330" s="1">
        <v>0.392542</v>
      </c>
      <c r="F330" s="1">
        <v>0.978363</v>
      </c>
      <c r="G330" s="1">
        <v>0.506727</v>
      </c>
      <c r="H330" s="1">
        <v>0.3313</v>
      </c>
      <c r="I330" s="1">
        <v>0.4693</v>
      </c>
      <c r="J330" s="1" t="s">
        <v>14</v>
      </c>
      <c r="K330" s="1">
        <v>0.6116852984602404</v>
      </c>
    </row>
    <row r="331" ht="15.75" customHeight="1">
      <c r="A331" s="1" t="s">
        <v>632</v>
      </c>
      <c r="B331" s="1" t="s">
        <v>16</v>
      </c>
      <c r="C331" s="1" t="s">
        <v>633</v>
      </c>
      <c r="D331" s="1">
        <f t="shared" si="2"/>
        <v>0.683629562</v>
      </c>
      <c r="E331" s="1">
        <v>0.991736</v>
      </c>
      <c r="F331" s="1">
        <v>0.95932</v>
      </c>
      <c r="G331" s="1">
        <v>0.6628</v>
      </c>
      <c r="H331" s="1">
        <v>0.3499</v>
      </c>
      <c r="I331" s="1">
        <v>0.4321</v>
      </c>
      <c r="K331" s="1">
        <v>0.6116852984602404</v>
      </c>
    </row>
    <row r="332" ht="15.75" customHeight="1">
      <c r="A332" s="1" t="s">
        <v>634</v>
      </c>
      <c r="B332" s="1" t="s">
        <v>12</v>
      </c>
      <c r="C332" s="1" t="s">
        <v>635</v>
      </c>
      <c r="D332" s="1">
        <f t="shared" si="2"/>
        <v>0.6830722963</v>
      </c>
      <c r="E332" s="1">
        <v>2.117421</v>
      </c>
      <c r="F332" s="1">
        <v>0.972613</v>
      </c>
      <c r="G332" s="1">
        <v>0.491569</v>
      </c>
      <c r="H332" s="1">
        <v>0.3313</v>
      </c>
      <c r="I332" s="1">
        <v>0.4693</v>
      </c>
      <c r="J332" s="1" t="s">
        <v>14</v>
      </c>
      <c r="K332" s="1">
        <v>0.6116852984602404</v>
      </c>
    </row>
    <row r="333" ht="15.75" customHeight="1">
      <c r="A333" s="1" t="s">
        <v>636</v>
      </c>
      <c r="B333" s="1" t="s">
        <v>45</v>
      </c>
      <c r="C333" s="1" t="s">
        <v>436</v>
      </c>
      <c r="D333" s="1">
        <f t="shared" si="2"/>
        <v>0.6822749206</v>
      </c>
      <c r="E333" s="1">
        <v>1.115242</v>
      </c>
      <c r="F333" s="1">
        <v>0.938189</v>
      </c>
      <c r="G333" s="1">
        <v>0.418379</v>
      </c>
      <c r="H333" s="1">
        <v>0.3552</v>
      </c>
      <c r="I333" s="1">
        <v>0.5969</v>
      </c>
      <c r="J333" s="1" t="s">
        <v>47</v>
      </c>
      <c r="K333" s="1">
        <v>1.1976047904191616</v>
      </c>
    </row>
    <row r="334" ht="15.75" customHeight="1">
      <c r="A334" s="1" t="s">
        <v>637</v>
      </c>
      <c r="B334" s="1" t="s">
        <v>16</v>
      </c>
      <c r="C334" s="1" t="s">
        <v>364</v>
      </c>
      <c r="D334" s="1">
        <f t="shared" si="2"/>
        <v>0.6812329726</v>
      </c>
      <c r="E334" s="1">
        <v>1.507538</v>
      </c>
      <c r="F334" s="1">
        <v>0.9576</v>
      </c>
      <c r="G334" s="1">
        <v>0.256782</v>
      </c>
      <c r="H334" s="1">
        <v>0.3499</v>
      </c>
      <c r="I334" s="1">
        <v>0.4321</v>
      </c>
      <c r="K334" s="1">
        <v>0.0488997555012225</v>
      </c>
    </row>
    <row r="335" ht="15.75" customHeight="1">
      <c r="A335" s="1" t="s">
        <v>638</v>
      </c>
      <c r="B335" s="1" t="s">
        <v>21</v>
      </c>
      <c r="C335" s="1" t="s">
        <v>442</v>
      </c>
      <c r="D335" s="1">
        <f t="shared" si="2"/>
        <v>0.6806579538</v>
      </c>
      <c r="E335" s="1">
        <v>4.555809</v>
      </c>
      <c r="F335" s="1">
        <v>0.954532</v>
      </c>
      <c r="G335" s="1">
        <v>0.548087</v>
      </c>
      <c r="H335" s="1">
        <v>0.3493</v>
      </c>
      <c r="I335" s="1">
        <v>0.4321</v>
      </c>
      <c r="K335" s="1">
        <v>-0.8176918788329307</v>
      </c>
    </row>
    <row r="336" ht="15.75" customHeight="1">
      <c r="A336" s="1" t="s">
        <v>639</v>
      </c>
      <c r="B336" s="1" t="s">
        <v>16</v>
      </c>
      <c r="C336" s="1" t="s">
        <v>640</v>
      </c>
      <c r="D336" s="1">
        <f t="shared" si="2"/>
        <v>0.6803434222</v>
      </c>
      <c r="E336" s="1">
        <v>3.754693</v>
      </c>
      <c r="F336" s="1">
        <v>0.95011</v>
      </c>
      <c r="G336" s="1">
        <v>0.799762</v>
      </c>
      <c r="H336" s="1">
        <v>0.3499</v>
      </c>
      <c r="I336" s="1">
        <v>0.4321</v>
      </c>
      <c r="K336" s="1">
        <v>-2.6282853566958697</v>
      </c>
    </row>
    <row r="337" ht="15.75" customHeight="1">
      <c r="A337" s="1" t="s">
        <v>641</v>
      </c>
      <c r="B337" s="1" t="s">
        <v>45</v>
      </c>
      <c r="C337" s="1" t="s">
        <v>642</v>
      </c>
      <c r="D337" s="1">
        <f t="shared" si="2"/>
        <v>0.6801677737</v>
      </c>
      <c r="E337" s="1">
        <v>0.0</v>
      </c>
      <c r="F337" s="1">
        <v>0.941907</v>
      </c>
      <c r="G337" s="1">
        <v>0.693446</v>
      </c>
      <c r="H337" s="1">
        <v>0.3552</v>
      </c>
      <c r="I337" s="1">
        <v>0.5969</v>
      </c>
      <c r="J337" s="1" t="s">
        <v>47</v>
      </c>
      <c r="K337" s="1">
        <v>0.0</v>
      </c>
    </row>
    <row r="338" ht="15.75" customHeight="1">
      <c r="A338" s="1" t="s">
        <v>643</v>
      </c>
      <c r="B338" s="1" t="s">
        <v>45</v>
      </c>
      <c r="C338" s="1" t="s">
        <v>644</v>
      </c>
      <c r="D338" s="1">
        <f t="shared" si="2"/>
        <v>0.6798447466</v>
      </c>
      <c r="E338" s="1">
        <v>0.723327</v>
      </c>
      <c r="F338" s="1">
        <v>0.939496</v>
      </c>
      <c r="G338" s="1">
        <v>0.392318</v>
      </c>
      <c r="H338" s="1">
        <v>0.3552</v>
      </c>
      <c r="I338" s="1">
        <v>0.5969</v>
      </c>
      <c r="J338" s="1" t="s">
        <v>47</v>
      </c>
      <c r="K338" s="1">
        <v>1.1976047904191616</v>
      </c>
    </row>
    <row r="339" ht="15.75" customHeight="1">
      <c r="A339" s="1" t="s">
        <v>645</v>
      </c>
      <c r="B339" s="1" t="s">
        <v>21</v>
      </c>
      <c r="C339" s="1" t="s">
        <v>646</v>
      </c>
      <c r="D339" s="1">
        <f t="shared" si="2"/>
        <v>0.67903545</v>
      </c>
      <c r="E339" s="1">
        <v>0.0</v>
      </c>
      <c r="F339" s="1">
        <v>0.969718</v>
      </c>
      <c r="G339" s="1">
        <v>0.622689</v>
      </c>
      <c r="H339" s="1">
        <v>0.3493</v>
      </c>
      <c r="I339" s="1">
        <v>0.4321</v>
      </c>
      <c r="K339" s="1">
        <v>0.6116852984602404</v>
      </c>
    </row>
    <row r="340" ht="15.75" customHeight="1">
      <c r="A340" s="1" t="s">
        <v>647</v>
      </c>
      <c r="B340" s="1" t="s">
        <v>12</v>
      </c>
      <c r="C340" s="1" t="s">
        <v>406</v>
      </c>
      <c r="D340" s="1">
        <f t="shared" si="2"/>
        <v>0.6786362392</v>
      </c>
      <c r="E340" s="1">
        <v>1.071429</v>
      </c>
      <c r="F340" s="1">
        <v>0.9761</v>
      </c>
      <c r="G340" s="1">
        <v>0.600595</v>
      </c>
      <c r="H340" s="1">
        <v>0.3313</v>
      </c>
      <c r="I340" s="1">
        <v>0.4693</v>
      </c>
      <c r="J340" s="1" t="s">
        <v>14</v>
      </c>
      <c r="K340" s="1">
        <v>0.6116852984602404</v>
      </c>
    </row>
    <row r="341" ht="15.75" customHeight="1">
      <c r="A341" s="1" t="s">
        <v>648</v>
      </c>
      <c r="B341" s="1" t="s">
        <v>49</v>
      </c>
      <c r="C341" s="1" t="s">
        <v>649</v>
      </c>
      <c r="D341" s="1">
        <f t="shared" si="2"/>
        <v>0.6784985902</v>
      </c>
      <c r="E341" s="1">
        <v>6.682578</v>
      </c>
      <c r="F341" s="1">
        <v>0.95145</v>
      </c>
      <c r="G341" s="1">
        <v>0.284383</v>
      </c>
      <c r="H341" s="1">
        <v>0.3515</v>
      </c>
      <c r="I341" s="1">
        <v>0.4321</v>
      </c>
      <c r="K341" s="1">
        <v>0.8227848101265823</v>
      </c>
    </row>
    <row r="342" ht="15.75" customHeight="1">
      <c r="A342" s="1" t="s">
        <v>650</v>
      </c>
      <c r="B342" s="1" t="s">
        <v>36</v>
      </c>
      <c r="C342" s="1" t="s">
        <v>651</v>
      </c>
      <c r="D342" s="1">
        <f t="shared" si="2"/>
        <v>0.6675584111</v>
      </c>
      <c r="E342" s="1">
        <v>0.471698</v>
      </c>
      <c r="F342" s="1">
        <v>0.913869</v>
      </c>
      <c r="G342" s="1">
        <v>0.421409</v>
      </c>
      <c r="H342" s="1">
        <v>0.3622</v>
      </c>
      <c r="I342" s="1">
        <v>0.4321</v>
      </c>
      <c r="K342" s="1">
        <v>0.18839103869653767</v>
      </c>
    </row>
    <row r="343" ht="15.75" customHeight="1">
      <c r="A343" s="1" t="s">
        <v>652</v>
      </c>
      <c r="B343" s="1" t="s">
        <v>12</v>
      </c>
      <c r="C343" s="1" t="s">
        <v>653</v>
      </c>
      <c r="D343" s="1">
        <f t="shared" si="2"/>
        <v>0.6653317491</v>
      </c>
      <c r="E343" s="1">
        <v>0.754717</v>
      </c>
      <c r="F343" s="1">
        <v>0.977156</v>
      </c>
      <c r="G343" s="1">
        <v>0.473067</v>
      </c>
      <c r="H343" s="1">
        <v>0.3313</v>
      </c>
      <c r="I343" s="1">
        <v>0.4693</v>
      </c>
      <c r="J343" s="1" t="s">
        <v>14</v>
      </c>
      <c r="K343" s="1">
        <v>0.6116852984602404</v>
      </c>
    </row>
    <row r="344" ht="15.75" customHeight="1">
      <c r="A344" s="1" t="s">
        <v>654</v>
      </c>
      <c r="B344" s="1" t="s">
        <v>12</v>
      </c>
      <c r="C344" s="1" t="s">
        <v>655</v>
      </c>
      <c r="D344" s="1">
        <f t="shared" si="2"/>
        <v>0.6628691035</v>
      </c>
      <c r="E344" s="1">
        <v>0.237248</v>
      </c>
      <c r="F344" s="1">
        <v>0.978881</v>
      </c>
      <c r="G344" s="1">
        <v>0.685107</v>
      </c>
      <c r="H344" s="1">
        <v>0.3313</v>
      </c>
      <c r="I344" s="1">
        <v>0.4693</v>
      </c>
      <c r="J344" s="1" t="s">
        <v>14</v>
      </c>
      <c r="K344" s="1">
        <v>-0.21595356998245377</v>
      </c>
    </row>
    <row r="345" ht="15.75" customHeight="1">
      <c r="A345" s="1" t="s">
        <v>656</v>
      </c>
      <c r="B345" s="1" t="s">
        <v>36</v>
      </c>
      <c r="C345" s="1" t="s">
        <v>657</v>
      </c>
      <c r="D345" s="1">
        <f t="shared" si="2"/>
        <v>0.6619129426</v>
      </c>
      <c r="E345" s="1">
        <v>0.898204</v>
      </c>
      <c r="F345" s="1">
        <v>0.912447</v>
      </c>
      <c r="G345" s="1">
        <v>0.694998</v>
      </c>
      <c r="H345" s="1">
        <v>0.3622</v>
      </c>
      <c r="I345" s="1">
        <v>0.4321</v>
      </c>
      <c r="K345" s="1">
        <v>0.18839103869653767</v>
      </c>
    </row>
    <row r="346" ht="15.75" customHeight="1">
      <c r="A346" s="1" t="s">
        <v>658</v>
      </c>
      <c r="B346" s="1" t="s">
        <v>49</v>
      </c>
      <c r="C346" s="1" t="s">
        <v>659</v>
      </c>
      <c r="D346" s="1">
        <f t="shared" si="2"/>
        <v>0.6605165591</v>
      </c>
      <c r="E346" s="1">
        <v>0.585652</v>
      </c>
      <c r="F346" s="1">
        <v>0.971773</v>
      </c>
      <c r="G346" s="1">
        <v>0.501344</v>
      </c>
      <c r="H346" s="1">
        <v>0.3515</v>
      </c>
      <c r="I346" s="1">
        <v>0.4321</v>
      </c>
      <c r="K346" s="1">
        <v>0.8227848101265823</v>
      </c>
    </row>
    <row r="347" ht="15.75" customHeight="1">
      <c r="A347" s="1" t="s">
        <v>660</v>
      </c>
      <c r="B347" s="1" t="s">
        <v>16</v>
      </c>
      <c r="C347" s="1" t="s">
        <v>661</v>
      </c>
      <c r="D347" s="1">
        <f t="shared" si="2"/>
        <v>0.6601847202</v>
      </c>
      <c r="E347" s="1">
        <v>5.445545</v>
      </c>
      <c r="F347" s="1">
        <v>0.944474</v>
      </c>
      <c r="G347" s="1">
        <v>0.546804</v>
      </c>
      <c r="H347" s="1">
        <v>0.3499</v>
      </c>
      <c r="I347" s="1">
        <v>0.4321</v>
      </c>
      <c r="K347" s="1">
        <v>0.6116852984602404</v>
      </c>
    </row>
    <row r="348" ht="15.75" customHeight="1">
      <c r="A348" s="1" t="s">
        <v>662</v>
      </c>
      <c r="B348" s="1" t="s">
        <v>49</v>
      </c>
      <c r="C348" s="1" t="s">
        <v>663</v>
      </c>
      <c r="D348" s="1">
        <f t="shared" si="2"/>
        <v>0.6594073737</v>
      </c>
      <c r="E348" s="1">
        <v>0.0</v>
      </c>
      <c r="F348" s="1">
        <v>0.973726</v>
      </c>
      <c r="G348" s="1">
        <v>0.693446</v>
      </c>
      <c r="H348" s="1">
        <v>0.3515</v>
      </c>
      <c r="I348" s="1">
        <v>0.4321</v>
      </c>
      <c r="K348" s="1">
        <v>0.0</v>
      </c>
    </row>
    <row r="349" ht="15.75" customHeight="1">
      <c r="A349" s="1" t="s">
        <v>664</v>
      </c>
      <c r="B349" s="1" t="s">
        <v>12</v>
      </c>
      <c r="C349" s="1" t="s">
        <v>665</v>
      </c>
      <c r="D349" s="1">
        <f t="shared" si="2"/>
        <v>0.6586818701</v>
      </c>
      <c r="E349" s="1">
        <v>4.711425</v>
      </c>
      <c r="F349" s="1">
        <v>0.963967</v>
      </c>
      <c r="G349" s="1">
        <v>0.451719</v>
      </c>
      <c r="H349" s="1">
        <v>0.3313</v>
      </c>
      <c r="I349" s="1">
        <v>0.4693</v>
      </c>
      <c r="J349" s="1" t="s">
        <v>14</v>
      </c>
      <c r="K349" s="1">
        <v>0.6116852984602404</v>
      </c>
    </row>
    <row r="350" ht="15.75" customHeight="1">
      <c r="A350" s="1" t="s">
        <v>666</v>
      </c>
      <c r="B350" s="1" t="s">
        <v>16</v>
      </c>
      <c r="C350" s="1" t="s">
        <v>667</v>
      </c>
      <c r="D350" s="1">
        <f t="shared" si="2"/>
        <v>0.6584693071</v>
      </c>
      <c r="E350" s="1">
        <v>0.0</v>
      </c>
      <c r="F350" s="1">
        <v>0.962626</v>
      </c>
      <c r="G350" s="1">
        <v>0.522526</v>
      </c>
      <c r="H350" s="1">
        <v>0.3499</v>
      </c>
      <c r="I350" s="1">
        <v>0.4321</v>
      </c>
      <c r="K350" s="1">
        <v>0.6116852984602404</v>
      </c>
    </row>
    <row r="351" ht="15.75" customHeight="1">
      <c r="A351" s="1" t="s">
        <v>668</v>
      </c>
      <c r="B351" s="1" t="s">
        <v>24</v>
      </c>
      <c r="C351" s="1" t="s">
        <v>669</v>
      </c>
      <c r="D351" s="1">
        <f t="shared" si="2"/>
        <v>0.6570068648</v>
      </c>
      <c r="E351" s="1">
        <v>2.059497</v>
      </c>
      <c r="F351" s="1">
        <v>0.949106</v>
      </c>
      <c r="G351" s="1">
        <v>0.466846</v>
      </c>
      <c r="H351" s="1">
        <v>0.3487</v>
      </c>
      <c r="I351" s="1">
        <v>0.4321</v>
      </c>
      <c r="K351" s="1">
        <v>0.8583690987124464</v>
      </c>
    </row>
    <row r="352" ht="15.75" customHeight="1">
      <c r="A352" s="1" t="s">
        <v>670</v>
      </c>
      <c r="B352" s="1" t="s">
        <v>12</v>
      </c>
      <c r="C352" s="1" t="s">
        <v>671</v>
      </c>
      <c r="D352" s="1">
        <f t="shared" si="2"/>
        <v>0.6568950458</v>
      </c>
      <c r="E352" s="1">
        <v>0.634249</v>
      </c>
      <c r="F352" s="1">
        <v>0.977557</v>
      </c>
      <c r="G352" s="1">
        <v>0.378054</v>
      </c>
      <c r="H352" s="1">
        <v>0.3313</v>
      </c>
      <c r="I352" s="1">
        <v>0.4693</v>
      </c>
      <c r="J352" s="1" t="s">
        <v>14</v>
      </c>
      <c r="K352" s="1">
        <v>0.6116852984602404</v>
      </c>
    </row>
    <row r="353" ht="15.75" customHeight="1">
      <c r="A353" s="1" t="s">
        <v>672</v>
      </c>
      <c r="B353" s="1" t="s">
        <v>12</v>
      </c>
      <c r="C353" s="1" t="s">
        <v>526</v>
      </c>
      <c r="D353" s="1">
        <f t="shared" si="2"/>
        <v>0.6562537649</v>
      </c>
      <c r="E353" s="1">
        <v>0.996264</v>
      </c>
      <c r="F353" s="1">
        <v>0.976351</v>
      </c>
      <c r="G353" s="1">
        <v>0.426857</v>
      </c>
      <c r="H353" s="1">
        <v>0.3313</v>
      </c>
      <c r="I353" s="1">
        <v>0.4693</v>
      </c>
      <c r="J353" s="1" t="s">
        <v>14</v>
      </c>
      <c r="K353" s="1">
        <v>0.6116852984602404</v>
      </c>
    </row>
    <row r="354" ht="15.75" customHeight="1">
      <c r="A354" s="1" t="s">
        <v>673</v>
      </c>
      <c r="B354" s="1" t="s">
        <v>45</v>
      </c>
      <c r="C354" s="1" t="s">
        <v>555</v>
      </c>
      <c r="D354" s="1">
        <f t="shared" si="2"/>
        <v>0.6558785892</v>
      </c>
      <c r="E354" s="1">
        <v>8.598726</v>
      </c>
      <c r="F354" s="1">
        <v>0.913244</v>
      </c>
      <c r="G354" s="1">
        <v>0.504737</v>
      </c>
      <c r="H354" s="1">
        <v>0.3552</v>
      </c>
      <c r="I354" s="1">
        <v>0.5969</v>
      </c>
      <c r="J354" s="1" t="s">
        <v>47</v>
      </c>
      <c r="K354" s="1">
        <v>0.18839103869653767</v>
      </c>
    </row>
    <row r="355" ht="15.75" customHeight="1">
      <c r="A355" s="1" t="s">
        <v>674</v>
      </c>
      <c r="B355" s="1" t="s">
        <v>49</v>
      </c>
      <c r="C355" s="1" t="s">
        <v>526</v>
      </c>
      <c r="D355" s="1">
        <f t="shared" si="2"/>
        <v>0.6541440767</v>
      </c>
      <c r="E355" s="1">
        <v>0.0</v>
      </c>
      <c r="F355" s="1">
        <v>0.973726</v>
      </c>
      <c r="G355" s="1">
        <v>0.561163</v>
      </c>
      <c r="H355" s="1">
        <v>0.3515</v>
      </c>
      <c r="I355" s="1">
        <v>0.4321</v>
      </c>
      <c r="K355" s="1">
        <v>0.18839103869653767</v>
      </c>
    </row>
    <row r="356" ht="15.75" customHeight="1">
      <c r="A356" s="1" t="s">
        <v>675</v>
      </c>
      <c r="B356" s="1" t="s">
        <v>49</v>
      </c>
      <c r="C356" s="1" t="s">
        <v>676</v>
      </c>
      <c r="D356" s="1">
        <f t="shared" si="2"/>
        <v>0.6530640982</v>
      </c>
      <c r="E356" s="1">
        <v>7.656613</v>
      </c>
      <c r="F356" s="1">
        <v>0.948204</v>
      </c>
      <c r="G356" s="1">
        <v>0.199278</v>
      </c>
      <c r="H356" s="1">
        <v>0.3515</v>
      </c>
      <c r="I356" s="1">
        <v>0.4321</v>
      </c>
      <c r="K356" s="1">
        <v>0.8227848101265823</v>
      </c>
    </row>
    <row r="357" ht="15.75" customHeight="1">
      <c r="A357" s="1" t="s">
        <v>677</v>
      </c>
      <c r="B357" s="1" t="s">
        <v>12</v>
      </c>
      <c r="C357" s="1" t="s">
        <v>678</v>
      </c>
      <c r="D357" s="1">
        <f t="shared" si="2"/>
        <v>0.6529980577</v>
      </c>
      <c r="E357" s="1">
        <v>0.214823</v>
      </c>
      <c r="F357" s="1">
        <v>0.978955</v>
      </c>
      <c r="G357" s="1">
        <v>0.645965</v>
      </c>
      <c r="H357" s="1">
        <v>0.3313</v>
      </c>
      <c r="I357" s="1">
        <v>0.4693</v>
      </c>
      <c r="J357" s="1" t="s">
        <v>14</v>
      </c>
      <c r="K357" s="1">
        <v>-0.21595356998245377</v>
      </c>
    </row>
    <row r="358" ht="15.75" customHeight="1">
      <c r="A358" s="1" t="s">
        <v>679</v>
      </c>
      <c r="B358" s="1" t="s">
        <v>49</v>
      </c>
      <c r="C358" s="1" t="s">
        <v>680</v>
      </c>
      <c r="D358" s="1">
        <f t="shared" si="2"/>
        <v>0.6515735375</v>
      </c>
      <c r="E358" s="1">
        <v>3.611738</v>
      </c>
      <c r="F358" s="1">
        <v>0.961686</v>
      </c>
      <c r="G358" s="1">
        <v>0.242942</v>
      </c>
      <c r="H358" s="1">
        <v>0.3515</v>
      </c>
      <c r="I358" s="1">
        <v>0.4321</v>
      </c>
      <c r="K358" s="1">
        <v>0.8227848101265823</v>
      </c>
    </row>
    <row r="359" ht="15.75" customHeight="1">
      <c r="A359" s="1" t="s">
        <v>681</v>
      </c>
      <c r="B359" s="1" t="s">
        <v>21</v>
      </c>
      <c r="C359" s="1" t="s">
        <v>602</v>
      </c>
      <c r="D359" s="1">
        <f t="shared" si="2"/>
        <v>0.6512396038</v>
      </c>
      <c r="E359" s="1">
        <v>0.269179</v>
      </c>
      <c r="F359" s="1">
        <v>0.968821</v>
      </c>
      <c r="G359" s="1">
        <v>0.479167</v>
      </c>
      <c r="H359" s="1">
        <v>0.3493</v>
      </c>
      <c r="I359" s="1">
        <v>0.4321</v>
      </c>
      <c r="K359" s="1">
        <v>0.6116852984602404</v>
      </c>
    </row>
    <row r="360" ht="15.75" customHeight="1">
      <c r="A360" s="1" t="s">
        <v>682</v>
      </c>
      <c r="B360" s="1" t="s">
        <v>12</v>
      </c>
      <c r="C360" s="1" t="s">
        <v>683</v>
      </c>
      <c r="D360" s="1">
        <f t="shared" si="2"/>
        <v>0.6499072894</v>
      </c>
      <c r="E360" s="1">
        <v>0.56338</v>
      </c>
      <c r="F360" s="1">
        <v>0.977794</v>
      </c>
      <c r="G360" s="1">
        <v>0.421177</v>
      </c>
      <c r="H360" s="1">
        <v>0.3313</v>
      </c>
      <c r="I360" s="1">
        <v>0.4693</v>
      </c>
      <c r="J360" s="1" t="s">
        <v>14</v>
      </c>
      <c r="K360" s="1">
        <v>0.6116852984602404</v>
      </c>
    </row>
    <row r="361" ht="15.75" customHeight="1">
      <c r="A361" s="1" t="s">
        <v>684</v>
      </c>
      <c r="B361" s="1" t="s">
        <v>12</v>
      </c>
      <c r="C361" s="1" t="s">
        <v>685</v>
      </c>
      <c r="D361" s="1">
        <f t="shared" si="2"/>
        <v>0.6497744121</v>
      </c>
      <c r="E361" s="1">
        <v>3.991131</v>
      </c>
      <c r="F361" s="1">
        <v>0.966368</v>
      </c>
      <c r="G361" s="1">
        <v>0.430259</v>
      </c>
      <c r="H361" s="1">
        <v>0.3313</v>
      </c>
      <c r="I361" s="1">
        <v>0.4693</v>
      </c>
      <c r="J361" s="1" t="s">
        <v>14</v>
      </c>
      <c r="K361" s="1">
        <v>-0.21595356998245377</v>
      </c>
    </row>
    <row r="362" ht="15.75" customHeight="1">
      <c r="A362" s="1" t="s">
        <v>686</v>
      </c>
      <c r="B362" s="1" t="s">
        <v>24</v>
      </c>
      <c r="C362" s="1" t="s">
        <v>687</v>
      </c>
      <c r="D362" s="1">
        <f t="shared" si="2"/>
        <v>0.6475917281</v>
      </c>
      <c r="E362" s="1">
        <v>2.531646</v>
      </c>
      <c r="F362" s="1">
        <v>0.947533</v>
      </c>
      <c r="G362" s="1">
        <v>0.452618</v>
      </c>
      <c r="H362" s="1">
        <v>0.3487</v>
      </c>
      <c r="I362" s="1">
        <v>0.4321</v>
      </c>
      <c r="K362" s="1">
        <v>0.8583690987124464</v>
      </c>
    </row>
    <row r="363" ht="15.75" customHeight="1">
      <c r="A363" s="1" t="s">
        <v>688</v>
      </c>
      <c r="B363" s="1" t="s">
        <v>12</v>
      </c>
      <c r="C363" s="1" t="s">
        <v>689</v>
      </c>
      <c r="D363" s="1">
        <f t="shared" si="2"/>
        <v>0.6469969609</v>
      </c>
      <c r="E363" s="1">
        <v>0.0</v>
      </c>
      <c r="F363" s="1">
        <v>0.979671</v>
      </c>
      <c r="G363" s="1">
        <v>0.393333</v>
      </c>
      <c r="H363" s="1">
        <v>0.3313</v>
      </c>
      <c r="I363" s="1">
        <v>0.4693</v>
      </c>
      <c r="J363" s="1" t="s">
        <v>14</v>
      </c>
      <c r="K363" s="1">
        <v>0.6116852984602404</v>
      </c>
    </row>
    <row r="364" ht="15.75" customHeight="1">
      <c r="A364" s="1" t="s">
        <v>690</v>
      </c>
      <c r="B364" s="1" t="s">
        <v>49</v>
      </c>
      <c r="C364" s="1" t="s">
        <v>691</v>
      </c>
      <c r="D364" s="1">
        <f t="shared" si="2"/>
        <v>0.6441003454</v>
      </c>
      <c r="E364" s="1">
        <v>2.306425</v>
      </c>
      <c r="F364" s="1">
        <v>0.966037</v>
      </c>
      <c r="G364" s="1">
        <v>0.559523</v>
      </c>
      <c r="H364" s="1">
        <v>0.3515</v>
      </c>
      <c r="I364" s="1">
        <v>0.4321</v>
      </c>
      <c r="K364" s="1">
        <v>0.18839103869653767</v>
      </c>
    </row>
    <row r="365" ht="15.75" customHeight="1">
      <c r="A365" s="1" t="s">
        <v>692</v>
      </c>
      <c r="B365" s="1" t="s">
        <v>21</v>
      </c>
      <c r="C365" s="1" t="s">
        <v>577</v>
      </c>
      <c r="D365" s="1">
        <f t="shared" si="2"/>
        <v>0.6430358579</v>
      </c>
      <c r="E365" s="1">
        <v>4.186795</v>
      </c>
      <c r="F365" s="1">
        <v>0.955762</v>
      </c>
      <c r="G365" s="1">
        <v>0.499942</v>
      </c>
      <c r="H365" s="1">
        <v>0.3493</v>
      </c>
      <c r="I365" s="1">
        <v>0.4321</v>
      </c>
      <c r="K365" s="1">
        <v>0.6116852984602404</v>
      </c>
    </row>
    <row r="366" ht="15.75" customHeight="1">
      <c r="A366" s="1" t="s">
        <v>693</v>
      </c>
      <c r="B366" s="1" t="s">
        <v>36</v>
      </c>
      <c r="C366" s="1" t="s">
        <v>694</v>
      </c>
      <c r="D366" s="1">
        <f t="shared" si="2"/>
        <v>0.6422789434</v>
      </c>
      <c r="E366" s="1">
        <v>2.506266</v>
      </c>
      <c r="F366" s="1">
        <v>0.907087</v>
      </c>
      <c r="G366" s="1">
        <v>0.613861</v>
      </c>
      <c r="H366" s="1">
        <v>0.3622</v>
      </c>
      <c r="I366" s="1">
        <v>0.4321</v>
      </c>
      <c r="K366" s="1">
        <v>0.18839103869653767</v>
      </c>
    </row>
    <row r="367" ht="15.75" customHeight="1">
      <c r="A367" s="1" t="s">
        <v>695</v>
      </c>
      <c r="B367" s="1" t="s">
        <v>12</v>
      </c>
      <c r="C367" s="1" t="s">
        <v>581</v>
      </c>
      <c r="D367" s="1">
        <f t="shared" si="2"/>
        <v>0.6421256305</v>
      </c>
      <c r="E367" s="1">
        <v>0.222965</v>
      </c>
      <c r="F367" s="1">
        <v>0.978928</v>
      </c>
      <c r="G367" s="1">
        <v>0.600832</v>
      </c>
      <c r="H367" s="1">
        <v>0.3313</v>
      </c>
      <c r="I367" s="1">
        <v>0.4693</v>
      </c>
      <c r="J367" s="1" t="s">
        <v>14</v>
      </c>
      <c r="K367" s="1">
        <v>-0.21595356998245377</v>
      </c>
    </row>
    <row r="368" ht="15.75" customHeight="1">
      <c r="A368" s="1" t="s">
        <v>696</v>
      </c>
      <c r="B368" s="1" t="s">
        <v>21</v>
      </c>
      <c r="C368" s="1" t="s">
        <v>667</v>
      </c>
      <c r="D368" s="1">
        <f t="shared" si="2"/>
        <v>0.640513644</v>
      </c>
      <c r="E368" s="1">
        <v>0.0</v>
      </c>
      <c r="F368" s="1">
        <v>0.969718</v>
      </c>
      <c r="G368" s="1">
        <v>0.422591</v>
      </c>
      <c r="H368" s="1">
        <v>0.3493</v>
      </c>
      <c r="I368" s="1">
        <v>0.4321</v>
      </c>
      <c r="K368" s="1">
        <v>0.6116852984602404</v>
      </c>
    </row>
    <row r="369" ht="15.75" customHeight="1">
      <c r="A369" s="1" t="s">
        <v>697</v>
      </c>
      <c r="B369" s="1" t="s">
        <v>12</v>
      </c>
      <c r="C369" s="1" t="s">
        <v>698</v>
      </c>
      <c r="D369" s="1">
        <f t="shared" si="2"/>
        <v>0.639259191</v>
      </c>
      <c r="E369" s="1">
        <v>3.359173</v>
      </c>
      <c r="F369" s="1">
        <v>0.968474</v>
      </c>
      <c r="G369" s="1">
        <v>0.361168</v>
      </c>
      <c r="H369" s="1">
        <v>0.3313</v>
      </c>
      <c r="I369" s="1">
        <v>0.4693</v>
      </c>
      <c r="J369" s="1" t="s">
        <v>14</v>
      </c>
      <c r="K369" s="1">
        <v>0.6116852984602404</v>
      </c>
    </row>
    <row r="370" ht="15.75" customHeight="1">
      <c r="A370" s="1" t="s">
        <v>699</v>
      </c>
      <c r="B370" s="1" t="s">
        <v>49</v>
      </c>
      <c r="C370" s="1" t="s">
        <v>700</v>
      </c>
      <c r="D370" s="1">
        <f t="shared" si="2"/>
        <v>0.6392547193</v>
      </c>
      <c r="E370" s="1">
        <v>5.748865</v>
      </c>
      <c r="F370" s="1">
        <v>0.954563</v>
      </c>
      <c r="G370" s="1">
        <v>0.550648</v>
      </c>
      <c r="H370" s="1">
        <v>0.3515</v>
      </c>
      <c r="I370" s="1">
        <v>0.4321</v>
      </c>
      <c r="K370" s="1">
        <v>0.18839103869653767</v>
      </c>
    </row>
    <row r="371" ht="15.75" customHeight="1">
      <c r="A371" s="1" t="s">
        <v>701</v>
      </c>
      <c r="B371" s="1" t="s">
        <v>12</v>
      </c>
      <c r="C371" s="1" t="s">
        <v>702</v>
      </c>
      <c r="D371" s="1">
        <f t="shared" si="2"/>
        <v>0.6383966307</v>
      </c>
      <c r="E371" s="1">
        <v>0.191939</v>
      </c>
      <c r="F371" s="1">
        <v>0.979032</v>
      </c>
      <c r="G371" s="1">
        <v>0.584547</v>
      </c>
      <c r="H371" s="1">
        <v>0.3313</v>
      </c>
      <c r="I371" s="1">
        <v>0.4693</v>
      </c>
      <c r="J371" s="1" t="s">
        <v>14</v>
      </c>
      <c r="K371" s="1">
        <v>-0.21595356998245377</v>
      </c>
    </row>
    <row r="372" ht="15.75" customHeight="1">
      <c r="A372" s="1" t="s">
        <v>703</v>
      </c>
      <c r="B372" s="1" t="s">
        <v>24</v>
      </c>
      <c r="C372" s="1" t="s">
        <v>704</v>
      </c>
      <c r="D372" s="1">
        <f t="shared" si="2"/>
        <v>0.6382421042</v>
      </c>
      <c r="E372" s="1">
        <v>4.195804</v>
      </c>
      <c r="F372" s="1">
        <v>0.941985</v>
      </c>
      <c r="G372" s="1">
        <v>0.437527</v>
      </c>
      <c r="H372" s="1">
        <v>0.3487</v>
      </c>
      <c r="I372" s="1">
        <v>0.4321</v>
      </c>
      <c r="K372" s="1">
        <v>0.9021842355175689</v>
      </c>
    </row>
    <row r="373" ht="15.75" customHeight="1">
      <c r="A373" s="1" t="s">
        <v>705</v>
      </c>
      <c r="B373" s="1" t="s">
        <v>49</v>
      </c>
      <c r="C373" s="1" t="s">
        <v>683</v>
      </c>
      <c r="D373" s="1">
        <f t="shared" si="2"/>
        <v>0.6380349843</v>
      </c>
      <c r="E373" s="1">
        <v>0.0</v>
      </c>
      <c r="F373" s="1">
        <v>0.973726</v>
      </c>
      <c r="G373" s="1">
        <v>0.502767</v>
      </c>
      <c r="H373" s="1">
        <v>0.3515</v>
      </c>
      <c r="I373" s="1">
        <v>0.4321</v>
      </c>
      <c r="K373" s="1">
        <v>0.18839103869653767</v>
      </c>
    </row>
    <row r="374" ht="15.75" customHeight="1">
      <c r="A374" s="1" t="s">
        <v>706</v>
      </c>
      <c r="B374" s="1" t="s">
        <v>12</v>
      </c>
      <c r="C374" s="1" t="s">
        <v>707</v>
      </c>
      <c r="D374" s="1">
        <f t="shared" si="2"/>
        <v>0.6379827826</v>
      </c>
      <c r="E374" s="1">
        <v>3.661327</v>
      </c>
      <c r="F374" s="1">
        <v>0.967467</v>
      </c>
      <c r="G374" s="1">
        <v>0.244504</v>
      </c>
      <c r="H374" s="1">
        <v>0.3313</v>
      </c>
      <c r="I374" s="1">
        <v>0.4693</v>
      </c>
      <c r="J374" s="1" t="s">
        <v>14</v>
      </c>
      <c r="K374" s="1">
        <v>-0.21595356998245377</v>
      </c>
    </row>
    <row r="375" ht="15.75" customHeight="1">
      <c r="A375" s="1" t="s">
        <v>708</v>
      </c>
      <c r="B375" s="1" t="s">
        <v>12</v>
      </c>
      <c r="C375" s="1" t="s">
        <v>709</v>
      </c>
      <c r="D375" s="1">
        <f t="shared" si="2"/>
        <v>0.637672693</v>
      </c>
      <c r="E375" s="1">
        <v>4.11985</v>
      </c>
      <c r="F375" s="1">
        <v>0.965939</v>
      </c>
      <c r="G375" s="1">
        <v>0.348072</v>
      </c>
      <c r="H375" s="1">
        <v>0.3313</v>
      </c>
      <c r="I375" s="1">
        <v>0.4693</v>
      </c>
      <c r="J375" s="1" t="s">
        <v>14</v>
      </c>
      <c r="K375" s="1">
        <v>0.6116852984602404</v>
      </c>
    </row>
    <row r="376" ht="15.75" customHeight="1">
      <c r="A376" s="1" t="s">
        <v>710</v>
      </c>
      <c r="B376" s="1" t="s">
        <v>21</v>
      </c>
      <c r="C376" s="1" t="s">
        <v>711</v>
      </c>
      <c r="D376" s="1">
        <f t="shared" si="2"/>
        <v>0.6376681643</v>
      </c>
      <c r="E376" s="1">
        <v>1.520913</v>
      </c>
      <c r="F376" s="1">
        <v>0.964648</v>
      </c>
      <c r="G376" s="1">
        <v>0.483516</v>
      </c>
      <c r="H376" s="1">
        <v>0.3493</v>
      </c>
      <c r="I376" s="1">
        <v>0.4321</v>
      </c>
      <c r="K376" s="1">
        <v>0.6116852984602404</v>
      </c>
    </row>
    <row r="377" ht="15.75" customHeight="1">
      <c r="A377" s="1" t="s">
        <v>712</v>
      </c>
      <c r="B377" s="1" t="s">
        <v>45</v>
      </c>
      <c r="C377" s="1" t="s">
        <v>713</v>
      </c>
      <c r="D377" s="1">
        <f t="shared" si="2"/>
        <v>0.6369146262</v>
      </c>
      <c r="E377" s="1">
        <v>0.167504</v>
      </c>
      <c r="F377" s="1">
        <v>0.941348</v>
      </c>
      <c r="G377" s="1">
        <v>0.504032</v>
      </c>
      <c r="H377" s="1">
        <v>0.3552</v>
      </c>
      <c r="I377" s="1">
        <v>0.5969</v>
      </c>
      <c r="J377" s="1" t="s">
        <v>47</v>
      </c>
      <c r="K377" s="1">
        <v>0.0</v>
      </c>
    </row>
    <row r="378" ht="15.75" customHeight="1">
      <c r="A378" s="1" t="s">
        <v>714</v>
      </c>
      <c r="B378" s="1" t="s">
        <v>12</v>
      </c>
      <c r="C378" s="1" t="s">
        <v>715</v>
      </c>
      <c r="D378" s="1">
        <f t="shared" si="2"/>
        <v>0.6367695988</v>
      </c>
      <c r="E378" s="1">
        <v>1.663894</v>
      </c>
      <c r="F378" s="1">
        <v>0.974125</v>
      </c>
      <c r="G378" s="1">
        <v>0.395422</v>
      </c>
      <c r="H378" s="1">
        <v>0.3313</v>
      </c>
      <c r="I378" s="1">
        <v>0.4693</v>
      </c>
      <c r="J378" s="1" t="s">
        <v>14</v>
      </c>
      <c r="K378" s="1">
        <v>0.6116852984602404</v>
      </c>
    </row>
    <row r="379" ht="15.75" customHeight="1">
      <c r="A379" s="1" t="s">
        <v>716</v>
      </c>
      <c r="B379" s="1" t="s">
        <v>49</v>
      </c>
      <c r="C379" s="1" t="s">
        <v>511</v>
      </c>
      <c r="D379" s="1">
        <f t="shared" si="2"/>
        <v>0.6357810465</v>
      </c>
      <c r="E379" s="1">
        <v>1.057269</v>
      </c>
      <c r="F379" s="1">
        <v>0.970201</v>
      </c>
      <c r="G379" s="1">
        <v>0.430388</v>
      </c>
      <c r="H379" s="1">
        <v>0.3515</v>
      </c>
      <c r="I379" s="1">
        <v>0.4321</v>
      </c>
      <c r="K379" s="1">
        <v>0.18839103869653767</v>
      </c>
    </row>
    <row r="380" ht="15.75" customHeight="1">
      <c r="A380" s="1" t="s">
        <v>717</v>
      </c>
      <c r="B380" s="1" t="s">
        <v>21</v>
      </c>
      <c r="C380" s="1" t="s">
        <v>718</v>
      </c>
      <c r="D380" s="1">
        <f t="shared" si="2"/>
        <v>0.6354474512</v>
      </c>
      <c r="E380" s="1">
        <v>0.30303</v>
      </c>
      <c r="F380" s="1">
        <v>0.968708</v>
      </c>
      <c r="G380" s="1">
        <v>0.435586</v>
      </c>
      <c r="H380" s="1">
        <v>0.3493</v>
      </c>
      <c r="I380" s="1">
        <v>0.4321</v>
      </c>
      <c r="K380" s="1">
        <v>0.5465547530743705</v>
      </c>
    </row>
    <row r="381" ht="15.75" customHeight="1">
      <c r="A381" s="1" t="s">
        <v>719</v>
      </c>
      <c r="B381" s="1" t="s">
        <v>49</v>
      </c>
      <c r="C381" s="1" t="s">
        <v>644</v>
      </c>
      <c r="D381" s="1">
        <f t="shared" si="2"/>
        <v>0.6352324826</v>
      </c>
      <c r="E381" s="1">
        <v>0.904159</v>
      </c>
      <c r="F381" s="1">
        <v>0.970712</v>
      </c>
      <c r="G381" s="1">
        <v>0.519584</v>
      </c>
      <c r="H381" s="1">
        <v>0.3515</v>
      </c>
      <c r="I381" s="1">
        <v>0.4321</v>
      </c>
      <c r="K381" s="1">
        <v>0.18839103869653767</v>
      </c>
    </row>
    <row r="382" ht="15.75" customHeight="1">
      <c r="A382" s="1" t="s">
        <v>720</v>
      </c>
      <c r="B382" s="1" t="s">
        <v>12</v>
      </c>
      <c r="C382" s="1" t="s">
        <v>538</v>
      </c>
      <c r="D382" s="1">
        <f t="shared" si="2"/>
        <v>0.634789601</v>
      </c>
      <c r="E382" s="1">
        <v>0.33557</v>
      </c>
      <c r="F382" s="1">
        <v>0.978553</v>
      </c>
      <c r="G382" s="1">
        <v>0.374444</v>
      </c>
      <c r="H382" s="1">
        <v>0.3313</v>
      </c>
      <c r="I382" s="1">
        <v>0.4693</v>
      </c>
      <c r="J382" s="1" t="s">
        <v>14</v>
      </c>
      <c r="K382" s="1">
        <v>0.6116852984602404</v>
      </c>
    </row>
    <row r="383" ht="15.75" customHeight="1">
      <c r="A383" s="1" t="s">
        <v>721</v>
      </c>
      <c r="B383" s="1" t="s">
        <v>21</v>
      </c>
      <c r="C383" s="1" t="s">
        <v>722</v>
      </c>
      <c r="D383" s="1">
        <f t="shared" si="2"/>
        <v>0.6334876036</v>
      </c>
      <c r="E383" s="1">
        <v>0.0</v>
      </c>
      <c r="F383" s="1">
        <v>0.969718</v>
      </c>
      <c r="G383" s="1">
        <v>0.400831</v>
      </c>
      <c r="H383" s="1">
        <v>0.3493</v>
      </c>
      <c r="I383" s="1">
        <v>0.4321</v>
      </c>
      <c r="K383" s="1">
        <v>0.5465547530743705</v>
      </c>
    </row>
    <row r="384" ht="15.75" customHeight="1">
      <c r="A384" s="1" t="s">
        <v>723</v>
      </c>
      <c r="B384" s="1" t="s">
        <v>21</v>
      </c>
      <c r="C384" s="1" t="s">
        <v>724</v>
      </c>
      <c r="D384" s="1">
        <f t="shared" si="2"/>
        <v>0.631428041</v>
      </c>
      <c r="E384" s="1">
        <v>1.032702</v>
      </c>
      <c r="F384" s="1">
        <v>0.966276</v>
      </c>
      <c r="G384" s="1">
        <v>0.432973</v>
      </c>
      <c r="H384" s="1">
        <v>0.3493</v>
      </c>
      <c r="I384" s="1">
        <v>0.4321</v>
      </c>
      <c r="K384" s="1">
        <v>0.6116852984602404</v>
      </c>
    </row>
    <row r="385" ht="15.75" customHeight="1">
      <c r="A385" s="1" t="s">
        <v>725</v>
      </c>
      <c r="B385" s="1" t="s">
        <v>21</v>
      </c>
      <c r="C385" s="1" t="s">
        <v>726</v>
      </c>
      <c r="D385" s="1">
        <f t="shared" si="2"/>
        <v>0.6314072448</v>
      </c>
      <c r="E385" s="1">
        <v>1.161103</v>
      </c>
      <c r="F385" s="1">
        <v>0.965848</v>
      </c>
      <c r="G385" s="1">
        <v>0.400469</v>
      </c>
      <c r="H385" s="1">
        <v>0.3493</v>
      </c>
      <c r="I385" s="1">
        <v>0.4321</v>
      </c>
      <c r="K385" s="1">
        <v>0.6116852984602404</v>
      </c>
    </row>
    <row r="386" ht="15.75" customHeight="1">
      <c r="A386" s="1" t="s">
        <v>727</v>
      </c>
      <c r="B386" s="1" t="s">
        <v>16</v>
      </c>
      <c r="C386" s="1" t="s">
        <v>704</v>
      </c>
      <c r="D386" s="1">
        <f t="shared" si="2"/>
        <v>0.62781939</v>
      </c>
      <c r="E386" s="1">
        <v>1.958042</v>
      </c>
      <c r="F386" s="1">
        <v>0.956099</v>
      </c>
      <c r="G386" s="1">
        <v>0.395352</v>
      </c>
      <c r="H386" s="1">
        <v>0.3499</v>
      </c>
      <c r="I386" s="1">
        <v>0.4321</v>
      </c>
      <c r="K386" s="1">
        <v>0.6116852984602404</v>
      </c>
    </row>
    <row r="387" ht="15.75" customHeight="1">
      <c r="A387" s="1" t="s">
        <v>728</v>
      </c>
      <c r="B387" s="1" t="s">
        <v>36</v>
      </c>
      <c r="C387" s="1" t="s">
        <v>477</v>
      </c>
      <c r="D387" s="1">
        <f t="shared" si="2"/>
        <v>0.6276941852</v>
      </c>
      <c r="E387" s="1">
        <v>5.531915</v>
      </c>
      <c r="F387" s="1">
        <v>0.897002</v>
      </c>
      <c r="G387" s="1">
        <v>0.427593</v>
      </c>
      <c r="H387" s="1">
        <v>0.3622</v>
      </c>
      <c r="I387" s="1">
        <v>0.4321</v>
      </c>
      <c r="K387" s="1">
        <v>0.9982638888888888</v>
      </c>
    </row>
    <row r="388" ht="15.75" customHeight="1">
      <c r="A388" s="1" t="s">
        <v>729</v>
      </c>
      <c r="B388" s="1" t="s">
        <v>12</v>
      </c>
      <c r="C388" s="1" t="s">
        <v>548</v>
      </c>
      <c r="D388" s="1">
        <f t="shared" si="2"/>
        <v>0.6274427435</v>
      </c>
      <c r="E388" s="1">
        <v>0.660066</v>
      </c>
      <c r="F388" s="1">
        <v>0.977471</v>
      </c>
      <c r="G388" s="1">
        <v>0.537853</v>
      </c>
      <c r="H388" s="1">
        <v>0.3313</v>
      </c>
      <c r="I388" s="1">
        <v>0.4693</v>
      </c>
      <c r="J388" s="1" t="s">
        <v>14</v>
      </c>
      <c r="K388" s="1">
        <v>-0.21595356998245377</v>
      </c>
    </row>
    <row r="389" ht="15.75" customHeight="1">
      <c r="A389" s="1" t="s">
        <v>730</v>
      </c>
      <c r="B389" s="1" t="s">
        <v>49</v>
      </c>
      <c r="C389" s="1" t="s">
        <v>731</v>
      </c>
      <c r="D389" s="1">
        <f t="shared" si="2"/>
        <v>0.6273774797</v>
      </c>
      <c r="E389" s="1">
        <v>0.283286</v>
      </c>
      <c r="F389" s="1">
        <v>0.972781</v>
      </c>
      <c r="G389" s="1">
        <v>0.309171</v>
      </c>
      <c r="H389" s="1">
        <v>0.3515</v>
      </c>
      <c r="I389" s="1">
        <v>0.4321</v>
      </c>
      <c r="K389" s="1">
        <v>0.8227848101265823</v>
      </c>
    </row>
    <row r="390" ht="15.75" customHeight="1">
      <c r="A390" s="1" t="s">
        <v>732</v>
      </c>
      <c r="B390" s="1" t="s">
        <v>49</v>
      </c>
      <c r="C390" s="1" t="s">
        <v>733</v>
      </c>
      <c r="D390" s="1">
        <f t="shared" si="2"/>
        <v>0.6267685293</v>
      </c>
      <c r="E390" s="1">
        <v>2.70636</v>
      </c>
      <c r="F390" s="1">
        <v>0.964704</v>
      </c>
      <c r="G390" s="1">
        <v>0.461529</v>
      </c>
      <c r="H390" s="1">
        <v>0.3515</v>
      </c>
      <c r="I390" s="1">
        <v>0.4321</v>
      </c>
      <c r="K390" s="1">
        <v>0.18839103869653767</v>
      </c>
    </row>
    <row r="391" ht="15.75" customHeight="1">
      <c r="A391" s="1" t="s">
        <v>734</v>
      </c>
      <c r="B391" s="1" t="s">
        <v>111</v>
      </c>
      <c r="C391" s="1" t="s">
        <v>735</v>
      </c>
      <c r="D391" s="1">
        <f t="shared" si="2"/>
        <v>0.6264341494</v>
      </c>
      <c r="E391" s="1">
        <v>0.0</v>
      </c>
      <c r="F391" s="1">
        <v>0.97731</v>
      </c>
      <c r="G391" s="1">
        <v>0.391278</v>
      </c>
      <c r="H391" s="1">
        <v>0.3322</v>
      </c>
      <c r="I391" s="1">
        <v>0.2302</v>
      </c>
      <c r="J391" s="1" t="s">
        <v>112</v>
      </c>
      <c r="K391" s="1">
        <v>5.443037974683544</v>
      </c>
    </row>
    <row r="392" ht="15.75" customHeight="1">
      <c r="A392" s="1" t="s">
        <v>736</v>
      </c>
      <c r="B392" s="1" t="s">
        <v>21</v>
      </c>
      <c r="C392" s="1" t="s">
        <v>737</v>
      </c>
      <c r="D392" s="1">
        <f t="shared" si="2"/>
        <v>0.6247473659</v>
      </c>
      <c r="E392" s="1">
        <v>3.080308</v>
      </c>
      <c r="F392" s="1">
        <v>0.95945</v>
      </c>
      <c r="G392" s="1">
        <v>0.319255</v>
      </c>
      <c r="H392" s="1">
        <v>0.3493</v>
      </c>
      <c r="I392" s="1">
        <v>0.4321</v>
      </c>
      <c r="K392" s="1">
        <v>0.5465547530743705</v>
      </c>
    </row>
    <row r="393" ht="15.75" customHeight="1">
      <c r="A393" s="1" t="s">
        <v>738</v>
      </c>
      <c r="B393" s="1" t="s">
        <v>12</v>
      </c>
      <c r="C393" s="1" t="s">
        <v>739</v>
      </c>
      <c r="D393" s="1">
        <f t="shared" si="2"/>
        <v>0.6242403796</v>
      </c>
      <c r="E393" s="1">
        <v>0.326264</v>
      </c>
      <c r="F393" s="1">
        <v>0.978584</v>
      </c>
      <c r="G393" s="1">
        <v>0.520649</v>
      </c>
      <c r="H393" s="1">
        <v>0.3313</v>
      </c>
      <c r="I393" s="1">
        <v>0.4693</v>
      </c>
      <c r="J393" s="1" t="s">
        <v>14</v>
      </c>
      <c r="K393" s="1">
        <v>-0.21595356998245377</v>
      </c>
    </row>
    <row r="394" ht="15.75" customHeight="1">
      <c r="A394" s="1" t="s">
        <v>740</v>
      </c>
      <c r="B394" s="1" t="s">
        <v>21</v>
      </c>
      <c r="C394" s="1" t="s">
        <v>741</v>
      </c>
      <c r="D394" s="1">
        <f t="shared" si="2"/>
        <v>0.62365715</v>
      </c>
      <c r="E394" s="1">
        <v>6.832298</v>
      </c>
      <c r="F394" s="1">
        <v>0.946944</v>
      </c>
      <c r="G394" s="1">
        <v>0.366126</v>
      </c>
      <c r="H394" s="1">
        <v>0.3493</v>
      </c>
      <c r="I394" s="1">
        <v>0.4321</v>
      </c>
      <c r="K394" s="1">
        <v>0.6116852984602404</v>
      </c>
    </row>
    <row r="395" ht="15.75" customHeight="1">
      <c r="A395" s="1" t="s">
        <v>742</v>
      </c>
      <c r="B395" s="1" t="s">
        <v>49</v>
      </c>
      <c r="C395" s="1" t="s">
        <v>743</v>
      </c>
      <c r="D395" s="1">
        <f t="shared" si="2"/>
        <v>0.6222059214</v>
      </c>
      <c r="E395" s="1">
        <v>1.478743</v>
      </c>
      <c r="F395" s="1">
        <v>0.968796</v>
      </c>
      <c r="G395" s="1">
        <v>0.462284</v>
      </c>
      <c r="H395" s="1">
        <v>0.3515</v>
      </c>
      <c r="I395" s="1">
        <v>0.4321</v>
      </c>
      <c r="K395" s="1">
        <v>0.18839103869653767</v>
      </c>
    </row>
    <row r="396" ht="15.75" customHeight="1">
      <c r="A396" s="1" t="s">
        <v>744</v>
      </c>
      <c r="B396" s="1" t="s">
        <v>36</v>
      </c>
      <c r="C396" s="1" t="s">
        <v>745</v>
      </c>
      <c r="D396" s="1">
        <f t="shared" si="2"/>
        <v>0.6215750326</v>
      </c>
      <c r="E396" s="1">
        <v>5.752961</v>
      </c>
      <c r="F396" s="1">
        <v>0.896265</v>
      </c>
      <c r="G396" s="1">
        <v>0.57516</v>
      </c>
      <c r="H396" s="1">
        <v>0.3622</v>
      </c>
      <c r="I396" s="1">
        <v>0.4321</v>
      </c>
      <c r="K396" s="1">
        <v>0.18839103869653767</v>
      </c>
    </row>
    <row r="397" ht="15.75" customHeight="1">
      <c r="A397" s="1" t="s">
        <v>746</v>
      </c>
      <c r="B397" s="1" t="s">
        <v>12</v>
      </c>
      <c r="C397" s="1" t="s">
        <v>747</v>
      </c>
      <c r="D397" s="1">
        <f t="shared" si="2"/>
        <v>0.621526762</v>
      </c>
      <c r="E397" s="1">
        <v>1.588878</v>
      </c>
      <c r="F397" s="1">
        <v>0.974375</v>
      </c>
      <c r="G397" s="1">
        <v>0.515532</v>
      </c>
      <c r="H397" s="1">
        <v>0.3313</v>
      </c>
      <c r="I397" s="1">
        <v>0.4693</v>
      </c>
      <c r="J397" s="1" t="s">
        <v>14</v>
      </c>
      <c r="K397" s="1">
        <v>-0.21595356998245377</v>
      </c>
    </row>
    <row r="398" ht="15.75" customHeight="1">
      <c r="A398" s="1" t="s">
        <v>748</v>
      </c>
      <c r="B398" s="1" t="s">
        <v>21</v>
      </c>
      <c r="C398" s="1" t="s">
        <v>749</v>
      </c>
      <c r="D398" s="1">
        <f t="shared" si="2"/>
        <v>0.6210033871</v>
      </c>
      <c r="E398" s="1">
        <v>0.0</v>
      </c>
      <c r="F398" s="1">
        <v>0.969718</v>
      </c>
      <c r="G398" s="1">
        <v>0.385699</v>
      </c>
      <c r="H398" s="1">
        <v>0.3493</v>
      </c>
      <c r="I398" s="1">
        <v>0.4321</v>
      </c>
      <c r="K398" s="1">
        <v>0.6116852984602404</v>
      </c>
    </row>
    <row r="399" ht="15.75" customHeight="1">
      <c r="A399" s="1" t="s">
        <v>750</v>
      </c>
      <c r="B399" s="1" t="s">
        <v>24</v>
      </c>
      <c r="C399" s="1" t="s">
        <v>528</v>
      </c>
      <c r="D399" s="1">
        <f t="shared" si="2"/>
        <v>0.6197089891</v>
      </c>
      <c r="E399" s="1">
        <v>3.152364</v>
      </c>
      <c r="F399" s="1">
        <v>0.945463</v>
      </c>
      <c r="G399" s="1">
        <v>0.577888</v>
      </c>
      <c r="H399" s="1">
        <v>0.3487</v>
      </c>
      <c r="I399" s="1">
        <v>0.4321</v>
      </c>
      <c r="K399" s="1">
        <v>-1.320901320901321</v>
      </c>
    </row>
    <row r="400" ht="15.75" customHeight="1">
      <c r="A400" s="1" t="s">
        <v>751</v>
      </c>
      <c r="B400" s="1" t="s">
        <v>16</v>
      </c>
      <c r="C400" s="1" t="s">
        <v>460</v>
      </c>
      <c r="D400" s="1">
        <f t="shared" si="2"/>
        <v>0.618686282</v>
      </c>
      <c r="E400" s="1">
        <v>3.887689</v>
      </c>
      <c r="F400" s="1">
        <v>0.949667</v>
      </c>
      <c r="G400" s="1">
        <v>0.363274</v>
      </c>
      <c r="H400" s="1">
        <v>0.3499</v>
      </c>
      <c r="I400" s="1">
        <v>0.4321</v>
      </c>
      <c r="K400" s="1">
        <v>0.0488997555012225</v>
      </c>
    </row>
    <row r="401" ht="15.75" customHeight="1">
      <c r="A401" s="1" t="s">
        <v>752</v>
      </c>
      <c r="B401" s="1" t="s">
        <v>21</v>
      </c>
      <c r="C401" s="1" t="s">
        <v>726</v>
      </c>
      <c r="D401" s="1">
        <f t="shared" si="2"/>
        <v>0.6184543356</v>
      </c>
      <c r="E401" s="1">
        <v>6.676343</v>
      </c>
      <c r="F401" s="1">
        <v>0.947464</v>
      </c>
      <c r="G401" s="1">
        <v>0.372316</v>
      </c>
      <c r="H401" s="1">
        <v>0.3493</v>
      </c>
      <c r="I401" s="1">
        <v>0.4321</v>
      </c>
      <c r="K401" s="1">
        <v>0.6116852984602404</v>
      </c>
    </row>
    <row r="402" ht="15.75" customHeight="1">
      <c r="A402" s="1" t="s">
        <v>753</v>
      </c>
      <c r="B402" s="1" t="s">
        <v>24</v>
      </c>
      <c r="C402" s="1" t="s">
        <v>754</v>
      </c>
      <c r="D402" s="1">
        <f t="shared" si="2"/>
        <v>0.6182279618</v>
      </c>
      <c r="E402" s="1">
        <v>1.609658</v>
      </c>
      <c r="F402" s="1">
        <v>0.950606</v>
      </c>
      <c r="G402" s="1">
        <v>0.391305</v>
      </c>
      <c r="H402" s="1">
        <v>0.3487</v>
      </c>
      <c r="I402" s="1">
        <v>0.4321</v>
      </c>
      <c r="K402" s="1">
        <v>0.9021842355175689</v>
      </c>
    </row>
    <row r="403" ht="15.75" customHeight="1">
      <c r="A403" s="1" t="s">
        <v>755</v>
      </c>
      <c r="B403" s="1" t="s">
        <v>16</v>
      </c>
      <c r="C403" s="1" t="s">
        <v>756</v>
      </c>
      <c r="D403" s="1">
        <f t="shared" si="2"/>
        <v>0.6181320045</v>
      </c>
      <c r="E403" s="1">
        <v>0.316957</v>
      </c>
      <c r="F403" s="1">
        <v>0.961569</v>
      </c>
      <c r="G403" s="1">
        <v>0.493221</v>
      </c>
      <c r="H403" s="1">
        <v>0.3499</v>
      </c>
      <c r="I403" s="1">
        <v>0.4321</v>
      </c>
      <c r="K403" s="1">
        <v>0.0488997555012225</v>
      </c>
    </row>
    <row r="404" ht="15.75" customHeight="1">
      <c r="A404" s="1" t="s">
        <v>757</v>
      </c>
      <c r="B404" s="1" t="s">
        <v>24</v>
      </c>
      <c r="C404" s="1" t="s">
        <v>758</v>
      </c>
      <c r="D404" s="1">
        <f t="shared" si="2"/>
        <v>0.6180735515</v>
      </c>
      <c r="E404" s="1">
        <v>3.043478</v>
      </c>
      <c r="F404" s="1">
        <v>0.945826</v>
      </c>
      <c r="G404" s="1">
        <v>0.251053</v>
      </c>
      <c r="H404" s="1">
        <v>0.3487</v>
      </c>
      <c r="I404" s="1">
        <v>0.4321</v>
      </c>
      <c r="K404" s="1">
        <v>0.43478260869565216</v>
      </c>
    </row>
    <row r="405" ht="15.75" customHeight="1">
      <c r="A405" s="1" t="s">
        <v>759</v>
      </c>
      <c r="B405" s="1" t="s">
        <v>12</v>
      </c>
      <c r="C405" s="1" t="s">
        <v>760</v>
      </c>
      <c r="D405" s="1">
        <f t="shared" si="2"/>
        <v>0.6175882482</v>
      </c>
      <c r="E405" s="1">
        <v>1.860465</v>
      </c>
      <c r="F405" s="1">
        <v>0.97347</v>
      </c>
      <c r="G405" s="1">
        <v>0.498011</v>
      </c>
      <c r="H405" s="1">
        <v>0.3313</v>
      </c>
      <c r="I405" s="1">
        <v>0.4693</v>
      </c>
      <c r="J405" s="1" t="s">
        <v>14</v>
      </c>
      <c r="K405" s="1">
        <v>-0.21595356998245377</v>
      </c>
    </row>
    <row r="406" ht="15.75" customHeight="1">
      <c r="A406" s="1" t="s">
        <v>761</v>
      </c>
      <c r="B406" s="1" t="s">
        <v>49</v>
      </c>
      <c r="C406" s="1" t="s">
        <v>762</v>
      </c>
      <c r="D406" s="1">
        <f t="shared" si="2"/>
        <v>0.6175512042</v>
      </c>
      <c r="E406" s="1">
        <v>0.408163</v>
      </c>
      <c r="F406" s="1">
        <v>0.972365</v>
      </c>
      <c r="G406" s="1">
        <v>0.438932</v>
      </c>
      <c r="H406" s="1">
        <v>0.3515</v>
      </c>
      <c r="I406" s="1">
        <v>0.4321</v>
      </c>
      <c r="K406" s="1">
        <v>0.18839103869653767</v>
      </c>
    </row>
    <row r="407" ht="15.75" customHeight="1">
      <c r="A407" s="1" t="s">
        <v>763</v>
      </c>
      <c r="B407" s="1" t="s">
        <v>24</v>
      </c>
      <c r="C407" s="1" t="s">
        <v>764</v>
      </c>
      <c r="D407" s="1">
        <f t="shared" si="2"/>
        <v>0.6147121576</v>
      </c>
      <c r="E407" s="1">
        <v>6.56045</v>
      </c>
      <c r="F407" s="1">
        <v>0.934103</v>
      </c>
      <c r="G407" s="1">
        <v>0.414201</v>
      </c>
      <c r="H407" s="1">
        <v>0.3487</v>
      </c>
      <c r="I407" s="1">
        <v>0.4321</v>
      </c>
      <c r="K407" s="1">
        <v>0.18839103869653767</v>
      </c>
    </row>
    <row r="408" ht="15.75" customHeight="1">
      <c r="A408" s="1" t="s">
        <v>765</v>
      </c>
      <c r="B408" s="1" t="s">
        <v>49</v>
      </c>
      <c r="C408" s="1" t="s">
        <v>766</v>
      </c>
      <c r="D408" s="1">
        <f t="shared" si="2"/>
        <v>0.6146453498</v>
      </c>
      <c r="E408" s="1">
        <v>0.26455</v>
      </c>
      <c r="F408" s="1">
        <v>0.972844</v>
      </c>
      <c r="G408" s="1">
        <v>0.372947</v>
      </c>
      <c r="H408" s="1">
        <v>0.3515</v>
      </c>
      <c r="I408" s="1">
        <v>0.4321</v>
      </c>
      <c r="K408" s="1">
        <v>0.18839103869653767</v>
      </c>
    </row>
    <row r="409" ht="15.75" customHeight="1">
      <c r="A409" s="1" t="s">
        <v>767</v>
      </c>
      <c r="B409" s="1" t="s">
        <v>12</v>
      </c>
      <c r="C409" s="1" t="s">
        <v>768</v>
      </c>
      <c r="D409" s="1">
        <f t="shared" si="2"/>
        <v>0.614357778</v>
      </c>
      <c r="E409" s="1">
        <v>0.311526</v>
      </c>
      <c r="F409" s="1">
        <v>0.978633</v>
      </c>
      <c r="G409" s="1">
        <v>0.471187</v>
      </c>
      <c r="H409" s="1">
        <v>0.3313</v>
      </c>
      <c r="I409" s="1">
        <v>0.4693</v>
      </c>
      <c r="J409" s="1" t="s">
        <v>14</v>
      </c>
      <c r="K409" s="1">
        <v>0.0</v>
      </c>
    </row>
    <row r="410" ht="15.75" customHeight="1">
      <c r="A410" s="1" t="s">
        <v>769</v>
      </c>
      <c r="B410" s="1" t="s">
        <v>21</v>
      </c>
      <c r="C410" s="1" t="s">
        <v>770</v>
      </c>
      <c r="D410" s="1">
        <f t="shared" si="2"/>
        <v>0.614314369</v>
      </c>
      <c r="E410" s="1">
        <v>3.718459</v>
      </c>
      <c r="F410" s="1">
        <v>0.957323</v>
      </c>
      <c r="G410" s="1">
        <v>0.31054</v>
      </c>
      <c r="H410" s="1">
        <v>0.3493</v>
      </c>
      <c r="I410" s="1">
        <v>0.4321</v>
      </c>
      <c r="K410" s="1">
        <v>0.5465547530743705</v>
      </c>
    </row>
    <row r="411" ht="15.75" customHeight="1">
      <c r="A411" s="1" t="s">
        <v>771</v>
      </c>
      <c r="B411" s="1" t="s">
        <v>49</v>
      </c>
      <c r="C411" s="1" t="s">
        <v>694</v>
      </c>
      <c r="D411" s="1">
        <f t="shared" si="2"/>
        <v>0.6142680497</v>
      </c>
      <c r="E411" s="1">
        <v>0.250627</v>
      </c>
      <c r="F411" s="1">
        <v>0.97289</v>
      </c>
      <c r="G411" s="1">
        <v>0.502517</v>
      </c>
      <c r="H411" s="1">
        <v>0.3515</v>
      </c>
      <c r="I411" s="1">
        <v>0.4321</v>
      </c>
      <c r="K411" s="1">
        <v>-0.46073074038358514</v>
      </c>
    </row>
    <row r="412" ht="15.75" customHeight="1">
      <c r="A412" s="1" t="s">
        <v>772</v>
      </c>
      <c r="B412" s="1" t="s">
        <v>21</v>
      </c>
      <c r="C412" s="1" t="s">
        <v>773</v>
      </c>
      <c r="D412" s="1">
        <f t="shared" si="2"/>
        <v>0.6123560073</v>
      </c>
      <c r="E412" s="1">
        <v>0.34904</v>
      </c>
      <c r="F412" s="1">
        <v>0.968555</v>
      </c>
      <c r="G412" s="1">
        <v>0.3282</v>
      </c>
      <c r="H412" s="1">
        <v>0.3493</v>
      </c>
      <c r="I412" s="1">
        <v>0.4321</v>
      </c>
      <c r="K412" s="1">
        <v>0.5465547530743705</v>
      </c>
    </row>
    <row r="413" ht="15.75" customHeight="1">
      <c r="A413" s="1" t="s">
        <v>774</v>
      </c>
      <c r="B413" s="1" t="s">
        <v>12</v>
      </c>
      <c r="C413" s="1" t="s">
        <v>775</v>
      </c>
      <c r="D413" s="1">
        <f t="shared" si="2"/>
        <v>0.6108973014</v>
      </c>
      <c r="E413" s="1">
        <v>0.218579</v>
      </c>
      <c r="F413" s="1">
        <v>0.978943</v>
      </c>
      <c r="G413" s="1">
        <v>0.452162</v>
      </c>
      <c r="H413" s="1">
        <v>0.3313</v>
      </c>
      <c r="I413" s="1">
        <v>0.4693</v>
      </c>
      <c r="J413" s="1" t="s">
        <v>14</v>
      </c>
      <c r="K413" s="1">
        <v>-0.21595356998245377</v>
      </c>
    </row>
    <row r="414" ht="15.75" customHeight="1">
      <c r="A414" s="1" t="s">
        <v>776</v>
      </c>
      <c r="B414" s="1" t="s">
        <v>49</v>
      </c>
      <c r="C414" s="1" t="s">
        <v>438</v>
      </c>
      <c r="D414" s="1">
        <f t="shared" si="2"/>
        <v>0.6108256372</v>
      </c>
      <c r="E414" s="1">
        <v>0.641026</v>
      </c>
      <c r="F414" s="1">
        <v>0.971589</v>
      </c>
      <c r="G414" s="1">
        <v>0.378378</v>
      </c>
      <c r="H414" s="1">
        <v>0.3515</v>
      </c>
      <c r="I414" s="1">
        <v>0.4321</v>
      </c>
      <c r="K414" s="1">
        <v>0.18839103869653767</v>
      </c>
    </row>
    <row r="415" ht="15.75" customHeight="1">
      <c r="A415" s="1" t="s">
        <v>777</v>
      </c>
      <c r="B415" s="1" t="s">
        <v>12</v>
      </c>
      <c r="C415" s="1" t="s">
        <v>479</v>
      </c>
      <c r="D415" s="1">
        <f t="shared" si="2"/>
        <v>0.6107638926</v>
      </c>
      <c r="E415" s="1">
        <v>1.257862</v>
      </c>
      <c r="F415" s="1">
        <v>0.975479</v>
      </c>
      <c r="G415" s="1">
        <v>0.366657</v>
      </c>
      <c r="H415" s="1">
        <v>0.3313</v>
      </c>
      <c r="I415" s="1">
        <v>0.4693</v>
      </c>
      <c r="J415" s="1" t="s">
        <v>14</v>
      </c>
      <c r="K415" s="1">
        <v>-0.21595356998245377</v>
      </c>
    </row>
    <row r="416" ht="15.75" customHeight="1">
      <c r="A416" s="1" t="s">
        <v>778</v>
      </c>
      <c r="B416" s="1" t="s">
        <v>49</v>
      </c>
      <c r="C416" s="1" t="s">
        <v>779</v>
      </c>
      <c r="D416" s="1">
        <f t="shared" si="2"/>
        <v>0.6105111439</v>
      </c>
      <c r="E416" s="1">
        <v>2.627258</v>
      </c>
      <c r="F416" s="1">
        <v>0.964968</v>
      </c>
      <c r="G416" s="1">
        <v>0.395888</v>
      </c>
      <c r="H416" s="1">
        <v>0.3515</v>
      </c>
      <c r="I416" s="1">
        <v>0.4321</v>
      </c>
      <c r="K416" s="1">
        <v>0.18839103869653767</v>
      </c>
    </row>
    <row r="417" ht="15.75" customHeight="1">
      <c r="A417" s="1" t="s">
        <v>780</v>
      </c>
      <c r="B417" s="1" t="s">
        <v>24</v>
      </c>
      <c r="C417" s="1" t="s">
        <v>781</v>
      </c>
      <c r="D417" s="1">
        <f t="shared" si="2"/>
        <v>0.6094910244</v>
      </c>
      <c r="E417" s="1">
        <v>8.695652</v>
      </c>
      <c r="F417" s="1">
        <v>0.926986</v>
      </c>
      <c r="G417" s="1">
        <v>0.453615</v>
      </c>
      <c r="H417" s="1">
        <v>0.3487</v>
      </c>
      <c r="I417" s="1">
        <v>0.4321</v>
      </c>
      <c r="K417" s="1">
        <v>0.18839103869653767</v>
      </c>
    </row>
    <row r="418" ht="15.75" customHeight="1">
      <c r="A418" s="1" t="s">
        <v>782</v>
      </c>
      <c r="B418" s="1" t="s">
        <v>16</v>
      </c>
      <c r="C418" s="1" t="s">
        <v>783</v>
      </c>
      <c r="D418" s="1">
        <f t="shared" si="2"/>
        <v>0.609029332</v>
      </c>
      <c r="E418" s="1">
        <v>4.977376</v>
      </c>
      <c r="F418" s="1">
        <v>0.946034</v>
      </c>
      <c r="G418" s="1">
        <v>4.9E-4</v>
      </c>
      <c r="H418" s="1">
        <v>0.3499</v>
      </c>
      <c r="I418" s="1">
        <v>0.4321</v>
      </c>
      <c r="K418" s="1">
        <v>0.0488997555012225</v>
      </c>
    </row>
    <row r="419" ht="15.75" customHeight="1">
      <c r="A419" s="1" t="s">
        <v>784</v>
      </c>
      <c r="B419" s="1" t="s">
        <v>24</v>
      </c>
      <c r="C419" s="1" t="s">
        <v>785</v>
      </c>
      <c r="D419" s="1">
        <f t="shared" si="2"/>
        <v>0.6086426499</v>
      </c>
      <c r="E419" s="1">
        <v>2.684564</v>
      </c>
      <c r="F419" s="1">
        <v>0.947023</v>
      </c>
      <c r="G419" s="1">
        <v>0.093635</v>
      </c>
      <c r="H419" s="1">
        <v>0.3487</v>
      </c>
      <c r="I419" s="1">
        <v>0.4321</v>
      </c>
      <c r="K419" s="1">
        <v>0.9021842355175689</v>
      </c>
    </row>
    <row r="420" ht="15.75" customHeight="1">
      <c r="A420" s="1" t="s">
        <v>786</v>
      </c>
      <c r="B420" s="1" t="s">
        <v>24</v>
      </c>
      <c r="C420" s="1" t="s">
        <v>509</v>
      </c>
      <c r="D420" s="1">
        <f t="shared" si="2"/>
        <v>0.6084997224</v>
      </c>
      <c r="E420" s="1">
        <v>4.120879</v>
      </c>
      <c r="F420" s="1">
        <v>0.942235</v>
      </c>
      <c r="G420" s="1">
        <v>0.419345</v>
      </c>
      <c r="H420" s="1">
        <v>0.3487</v>
      </c>
      <c r="I420" s="1">
        <v>0.4321</v>
      </c>
      <c r="K420" s="1">
        <v>0.18839103869653767</v>
      </c>
    </row>
    <row r="421" ht="15.75" customHeight="1">
      <c r="A421" s="1" t="s">
        <v>787</v>
      </c>
      <c r="B421" s="1" t="s">
        <v>49</v>
      </c>
      <c r="C421" s="1" t="s">
        <v>788</v>
      </c>
      <c r="D421" s="1">
        <f t="shared" si="2"/>
        <v>0.607887432</v>
      </c>
      <c r="E421" s="1">
        <v>0.75662</v>
      </c>
      <c r="F421" s="1">
        <v>0.971203</v>
      </c>
      <c r="G421" s="1">
        <v>0.473931</v>
      </c>
      <c r="H421" s="1">
        <v>0.3515</v>
      </c>
      <c r="I421" s="1">
        <v>0.4321</v>
      </c>
      <c r="K421" s="1">
        <v>-0.46073074038358514</v>
      </c>
    </row>
    <row r="422" ht="15.75" customHeight="1">
      <c r="A422" s="1" t="s">
        <v>789</v>
      </c>
      <c r="B422" s="1" t="s">
        <v>49</v>
      </c>
      <c r="C422" s="1" t="s">
        <v>790</v>
      </c>
      <c r="D422" s="1">
        <f t="shared" si="2"/>
        <v>0.6046127207</v>
      </c>
      <c r="E422" s="1">
        <v>8.594657</v>
      </c>
      <c r="F422" s="1">
        <v>0.945077</v>
      </c>
      <c r="G422" s="1">
        <v>0.364228</v>
      </c>
      <c r="H422" s="1">
        <v>0.3515</v>
      </c>
      <c r="I422" s="1">
        <v>0.4321</v>
      </c>
      <c r="K422" s="1">
        <v>0.18839103869653767</v>
      </c>
    </row>
    <row r="423" ht="15.75" customHeight="1">
      <c r="A423" s="1" t="s">
        <v>791</v>
      </c>
      <c r="B423" s="1" t="s">
        <v>49</v>
      </c>
      <c r="C423" s="1" t="s">
        <v>792</v>
      </c>
      <c r="D423" s="1">
        <f t="shared" si="2"/>
        <v>0.603926218</v>
      </c>
      <c r="E423" s="1">
        <v>0.400802</v>
      </c>
      <c r="F423" s="1">
        <v>0.97239</v>
      </c>
      <c r="G423" s="1">
        <v>0.301735</v>
      </c>
      <c r="H423" s="1">
        <v>0.3515</v>
      </c>
      <c r="I423" s="1">
        <v>0.4321</v>
      </c>
      <c r="K423" s="1">
        <v>0.43795620437956206</v>
      </c>
    </row>
    <row r="424" ht="15.75" customHeight="1">
      <c r="A424" s="1" t="s">
        <v>793</v>
      </c>
      <c r="B424" s="1" t="s">
        <v>21</v>
      </c>
      <c r="C424" s="1" t="s">
        <v>794</v>
      </c>
      <c r="D424" s="1">
        <f t="shared" si="2"/>
        <v>0.602337972</v>
      </c>
      <c r="E424" s="1">
        <v>1.263158</v>
      </c>
      <c r="F424" s="1">
        <v>0.965507</v>
      </c>
      <c r="G424" s="1">
        <v>0.458606</v>
      </c>
      <c r="H424" s="1">
        <v>0.3493</v>
      </c>
      <c r="I424" s="1">
        <v>0.4321</v>
      </c>
      <c r="K424" s="1">
        <v>-0.8176918788329307</v>
      </c>
    </row>
    <row r="425" ht="15.75" customHeight="1">
      <c r="A425" s="1" t="s">
        <v>795</v>
      </c>
      <c r="B425" s="1" t="s">
        <v>16</v>
      </c>
      <c r="C425" s="1" t="s">
        <v>796</v>
      </c>
      <c r="D425" s="1">
        <f t="shared" si="2"/>
        <v>0.6016419158</v>
      </c>
      <c r="E425" s="1">
        <v>0.445434</v>
      </c>
      <c r="F425" s="1">
        <v>0.961141</v>
      </c>
      <c r="G425" s="1">
        <v>0.0</v>
      </c>
      <c r="H425" s="1">
        <v>0.3499</v>
      </c>
      <c r="I425" s="1">
        <v>0.4321</v>
      </c>
      <c r="K425" s="1">
        <v>0.0</v>
      </c>
    </row>
    <row r="426" ht="15.75" customHeight="1">
      <c r="A426" s="1" t="s">
        <v>797</v>
      </c>
      <c r="B426" s="1" t="s">
        <v>49</v>
      </c>
      <c r="C426" s="1" t="s">
        <v>798</v>
      </c>
      <c r="D426" s="1">
        <f t="shared" si="2"/>
        <v>0.601498539</v>
      </c>
      <c r="E426" s="1">
        <v>2.763385</v>
      </c>
      <c r="F426" s="1">
        <v>0.964514</v>
      </c>
      <c r="G426" s="1">
        <v>0.347654</v>
      </c>
      <c r="H426" s="1">
        <v>0.3515</v>
      </c>
      <c r="I426" s="1">
        <v>0.4321</v>
      </c>
      <c r="K426" s="1">
        <v>0.18839103869653767</v>
      </c>
    </row>
    <row r="427" ht="15.75" customHeight="1">
      <c r="A427" s="1" t="s">
        <v>799</v>
      </c>
      <c r="B427" s="1" t="s">
        <v>16</v>
      </c>
      <c r="C427" s="1" t="s">
        <v>800</v>
      </c>
      <c r="D427" s="1">
        <f t="shared" si="2"/>
        <v>0.6014763427</v>
      </c>
      <c r="E427" s="1">
        <v>1.096892</v>
      </c>
      <c r="F427" s="1">
        <v>0.958969</v>
      </c>
      <c r="G427" s="1">
        <v>0.419598</v>
      </c>
      <c r="H427" s="1">
        <v>0.3499</v>
      </c>
      <c r="I427" s="1">
        <v>0.4321</v>
      </c>
      <c r="K427" s="1">
        <v>0.0488997555012225</v>
      </c>
    </row>
    <row r="428" ht="15.75" customHeight="1">
      <c r="A428" s="1" t="s">
        <v>801</v>
      </c>
      <c r="B428" s="1" t="s">
        <v>12</v>
      </c>
      <c r="C428" s="1" t="s">
        <v>802</v>
      </c>
      <c r="D428" s="1">
        <f t="shared" si="2"/>
        <v>0.6003307737</v>
      </c>
      <c r="E428" s="1">
        <v>2.091503</v>
      </c>
      <c r="F428" s="1">
        <v>0.9727</v>
      </c>
      <c r="G428" s="1">
        <v>0.406744</v>
      </c>
      <c r="H428" s="1">
        <v>0.3313</v>
      </c>
      <c r="I428" s="1">
        <v>0.4693</v>
      </c>
      <c r="J428" s="1" t="s">
        <v>14</v>
      </c>
      <c r="K428" s="1">
        <v>-0.21595356998245377</v>
      </c>
    </row>
    <row r="429" ht="15.75" customHeight="1">
      <c r="A429" s="1" t="s">
        <v>803</v>
      </c>
      <c r="B429" s="1" t="s">
        <v>24</v>
      </c>
      <c r="C429" s="1" t="s">
        <v>804</v>
      </c>
      <c r="D429" s="1">
        <f t="shared" si="2"/>
        <v>0.599301137</v>
      </c>
      <c r="E429" s="1">
        <v>0.0</v>
      </c>
      <c r="F429" s="1">
        <v>0.955971</v>
      </c>
      <c r="G429" s="1">
        <v>0.34603</v>
      </c>
      <c r="H429" s="1">
        <v>0.3487</v>
      </c>
      <c r="I429" s="1">
        <v>0.4321</v>
      </c>
      <c r="K429" s="1">
        <v>0.0</v>
      </c>
    </row>
    <row r="430" ht="15.75" customHeight="1">
      <c r="A430" s="1" t="s">
        <v>805</v>
      </c>
      <c r="B430" s="1" t="s">
        <v>36</v>
      </c>
      <c r="C430" s="1" t="s">
        <v>806</v>
      </c>
      <c r="D430" s="1">
        <f t="shared" si="2"/>
        <v>0.598048085</v>
      </c>
      <c r="E430" s="1">
        <v>0.0</v>
      </c>
      <c r="F430" s="1">
        <v>0.915441</v>
      </c>
      <c r="G430" s="1">
        <v>0.395489</v>
      </c>
      <c r="H430" s="1">
        <v>0.3622</v>
      </c>
      <c r="I430" s="1">
        <v>0.4321</v>
      </c>
      <c r="K430" s="1">
        <v>0.18839103869653767</v>
      </c>
    </row>
    <row r="431" ht="15.75" customHeight="1">
      <c r="A431" s="1" t="s">
        <v>807</v>
      </c>
      <c r="B431" s="1" t="s">
        <v>49</v>
      </c>
      <c r="C431" s="1" t="s">
        <v>808</v>
      </c>
      <c r="D431" s="1">
        <f t="shared" si="2"/>
        <v>0.5979962163</v>
      </c>
      <c r="E431" s="1">
        <v>0.723982</v>
      </c>
      <c r="F431" s="1">
        <v>0.971312</v>
      </c>
      <c r="G431" s="1">
        <v>0.420343</v>
      </c>
      <c r="H431" s="1">
        <v>0.3515</v>
      </c>
      <c r="I431" s="1">
        <v>0.4321</v>
      </c>
      <c r="K431" s="1">
        <v>-0.46073074038358514</v>
      </c>
    </row>
    <row r="432" ht="15.75" customHeight="1">
      <c r="A432" s="1" t="s">
        <v>809</v>
      </c>
      <c r="B432" s="1" t="s">
        <v>49</v>
      </c>
      <c r="C432" s="1" t="s">
        <v>733</v>
      </c>
      <c r="D432" s="1">
        <f t="shared" si="2"/>
        <v>0.5966966683</v>
      </c>
      <c r="E432" s="1">
        <v>0.270636</v>
      </c>
      <c r="F432" s="1">
        <v>0.972823</v>
      </c>
      <c r="G432" s="1">
        <v>0.409317</v>
      </c>
      <c r="H432" s="1">
        <v>0.3515</v>
      </c>
      <c r="I432" s="1">
        <v>0.4321</v>
      </c>
      <c r="K432" s="1">
        <v>-0.46073074038358514</v>
      </c>
    </row>
    <row r="433" ht="15.75" customHeight="1">
      <c r="A433" s="1" t="s">
        <v>810</v>
      </c>
      <c r="B433" s="1" t="s">
        <v>49</v>
      </c>
      <c r="C433" s="1" t="s">
        <v>811</v>
      </c>
      <c r="D433" s="1">
        <f t="shared" si="2"/>
        <v>0.5963885592</v>
      </c>
      <c r="E433" s="1">
        <v>2.08901</v>
      </c>
      <c r="F433" s="1">
        <v>0.966762</v>
      </c>
      <c r="G433" s="1">
        <v>0.421694</v>
      </c>
      <c r="H433" s="1">
        <v>0.3515</v>
      </c>
      <c r="I433" s="1">
        <v>0.4321</v>
      </c>
      <c r="K433" s="1">
        <v>-0.46073074038358514</v>
      </c>
    </row>
    <row r="434" ht="15.75" customHeight="1">
      <c r="A434" s="1" t="s">
        <v>812</v>
      </c>
      <c r="B434" s="1" t="s">
        <v>24</v>
      </c>
      <c r="C434" s="1" t="s">
        <v>711</v>
      </c>
      <c r="D434" s="1">
        <f t="shared" si="2"/>
        <v>0.5962834252</v>
      </c>
      <c r="E434" s="1">
        <v>4.752852</v>
      </c>
      <c r="F434" s="1">
        <v>0.940128</v>
      </c>
      <c r="G434" s="1">
        <v>0.390709</v>
      </c>
      <c r="H434" s="1">
        <v>0.3487</v>
      </c>
      <c r="I434" s="1">
        <v>0.4321</v>
      </c>
      <c r="K434" s="1">
        <v>0.19102196752626552</v>
      </c>
    </row>
    <row r="435" ht="15.75" customHeight="1">
      <c r="A435" s="1" t="s">
        <v>813</v>
      </c>
      <c r="B435" s="1" t="s">
        <v>49</v>
      </c>
      <c r="C435" s="1" t="s">
        <v>491</v>
      </c>
      <c r="D435" s="1">
        <f t="shared" si="2"/>
        <v>0.5954926058</v>
      </c>
      <c r="E435" s="1">
        <v>3.937008</v>
      </c>
      <c r="F435" s="1">
        <v>0.960602</v>
      </c>
      <c r="G435" s="1">
        <v>0.273181</v>
      </c>
      <c r="H435" s="1">
        <v>0.3515</v>
      </c>
      <c r="I435" s="1">
        <v>0.4321</v>
      </c>
      <c r="K435" s="1">
        <v>0.43795620437956206</v>
      </c>
    </row>
    <row r="436" ht="15.75" customHeight="1">
      <c r="A436" s="1" t="s">
        <v>814</v>
      </c>
      <c r="B436" s="1" t="s">
        <v>12</v>
      </c>
      <c r="C436" s="1" t="s">
        <v>815</v>
      </c>
      <c r="D436" s="1">
        <f t="shared" si="2"/>
        <v>0.5945599748</v>
      </c>
      <c r="E436" s="1">
        <v>1.806452</v>
      </c>
      <c r="F436" s="1">
        <v>0.97365</v>
      </c>
      <c r="G436" s="1">
        <v>0.368795</v>
      </c>
      <c r="H436" s="1">
        <v>0.3313</v>
      </c>
      <c r="I436" s="1">
        <v>0.4693</v>
      </c>
      <c r="J436" s="1" t="s">
        <v>14</v>
      </c>
      <c r="K436" s="1">
        <v>-0.21595356998245377</v>
      </c>
    </row>
    <row r="437" ht="15.75" customHeight="1">
      <c r="A437" s="1" t="s">
        <v>816</v>
      </c>
      <c r="B437" s="1" t="s">
        <v>21</v>
      </c>
      <c r="C437" s="1" t="s">
        <v>817</v>
      </c>
      <c r="D437" s="1">
        <f t="shared" si="2"/>
        <v>0.5938897526</v>
      </c>
      <c r="E437" s="1">
        <v>3.174603</v>
      </c>
      <c r="F437" s="1">
        <v>0.959136</v>
      </c>
      <c r="G437" s="1">
        <v>0.426799</v>
      </c>
      <c r="H437" s="1">
        <v>0.3493</v>
      </c>
      <c r="I437" s="1">
        <v>0.4321</v>
      </c>
      <c r="K437" s="1">
        <v>-0.8176918788329307</v>
      </c>
    </row>
    <row r="438" ht="15.75" customHeight="1">
      <c r="A438" s="1" t="s">
        <v>818</v>
      </c>
      <c r="B438" s="1" t="s">
        <v>16</v>
      </c>
      <c r="C438" s="1" t="s">
        <v>819</v>
      </c>
      <c r="D438" s="1">
        <f t="shared" si="2"/>
        <v>0.5936818677</v>
      </c>
      <c r="E438" s="1">
        <v>2.409639</v>
      </c>
      <c r="F438" s="1">
        <v>0.954593</v>
      </c>
      <c r="G438" s="1">
        <v>0.357296</v>
      </c>
      <c r="H438" s="1">
        <v>0.3499</v>
      </c>
      <c r="I438" s="1">
        <v>0.4321</v>
      </c>
      <c r="K438" s="1">
        <v>0.0488997555012225</v>
      </c>
    </row>
    <row r="439" ht="15.75" customHeight="1">
      <c r="A439" s="1" t="s">
        <v>820</v>
      </c>
      <c r="B439" s="1" t="s">
        <v>49</v>
      </c>
      <c r="C439" s="1" t="s">
        <v>683</v>
      </c>
      <c r="D439" s="1">
        <f t="shared" si="2"/>
        <v>0.5933070875</v>
      </c>
      <c r="E439" s="1">
        <v>0.56338</v>
      </c>
      <c r="F439" s="1">
        <v>0.971848</v>
      </c>
      <c r="G439" s="1">
        <v>0.391538</v>
      </c>
      <c r="H439" s="1">
        <v>0.3515</v>
      </c>
      <c r="I439" s="1">
        <v>0.4321</v>
      </c>
      <c r="K439" s="1">
        <v>0.0</v>
      </c>
    </row>
    <row r="440" ht="15.75" customHeight="1">
      <c r="A440" s="1" t="s">
        <v>821</v>
      </c>
      <c r="B440" s="1" t="s">
        <v>49</v>
      </c>
      <c r="C440" s="1" t="s">
        <v>822</v>
      </c>
      <c r="D440" s="1">
        <f t="shared" si="2"/>
        <v>0.5932076618</v>
      </c>
      <c r="E440" s="1">
        <v>1.864181</v>
      </c>
      <c r="F440" s="1">
        <v>0.967512</v>
      </c>
      <c r="G440" s="1">
        <v>0.401546</v>
      </c>
      <c r="H440" s="1">
        <v>0.3515</v>
      </c>
      <c r="I440" s="1">
        <v>0.4321</v>
      </c>
      <c r="K440" s="1">
        <v>-0.46073074038358514</v>
      </c>
    </row>
    <row r="441" ht="15.75" customHeight="1">
      <c r="A441" s="1" t="s">
        <v>823</v>
      </c>
      <c r="B441" s="1" t="s">
        <v>111</v>
      </c>
      <c r="C441" s="1" t="s">
        <v>824</v>
      </c>
      <c r="D441" s="1">
        <f t="shared" si="2"/>
        <v>0.5915349916</v>
      </c>
      <c r="E441" s="1">
        <v>0.363636</v>
      </c>
      <c r="F441" s="1">
        <v>0.976098</v>
      </c>
      <c r="G441" s="1">
        <v>0.49051</v>
      </c>
      <c r="H441" s="1">
        <v>0.3322</v>
      </c>
      <c r="I441" s="1">
        <v>0.2302</v>
      </c>
      <c r="J441" s="1" t="s">
        <v>112</v>
      </c>
      <c r="K441" s="1">
        <v>0.18839103869653767</v>
      </c>
    </row>
    <row r="442" ht="15.75" customHeight="1">
      <c r="A442" s="1" t="s">
        <v>825</v>
      </c>
      <c r="B442" s="1" t="s">
        <v>21</v>
      </c>
      <c r="C442" s="1" t="s">
        <v>826</v>
      </c>
      <c r="D442" s="1">
        <f t="shared" si="2"/>
        <v>0.590745333</v>
      </c>
      <c r="E442" s="1">
        <v>3.125</v>
      </c>
      <c r="F442" s="1">
        <v>0.959301</v>
      </c>
      <c r="G442" s="1">
        <v>0.408584</v>
      </c>
      <c r="H442" s="1">
        <v>0.3493</v>
      </c>
      <c r="I442" s="1">
        <v>0.4321</v>
      </c>
      <c r="K442" s="1">
        <v>-0.8176918788329307</v>
      </c>
    </row>
    <row r="443" ht="15.75" customHeight="1">
      <c r="A443" s="1" t="s">
        <v>827</v>
      </c>
      <c r="B443" s="1" t="s">
        <v>49</v>
      </c>
      <c r="C443" s="1" t="s">
        <v>828</v>
      </c>
      <c r="D443" s="1">
        <f t="shared" si="2"/>
        <v>0.5900690144</v>
      </c>
      <c r="E443" s="1">
        <v>0.0</v>
      </c>
      <c r="F443" s="1">
        <v>0.973726</v>
      </c>
      <c r="G443" s="1">
        <v>0.366498</v>
      </c>
      <c r="H443" s="1">
        <v>0.3515</v>
      </c>
      <c r="I443" s="1">
        <v>0.4321</v>
      </c>
      <c r="K443" s="1">
        <v>0.0</v>
      </c>
    </row>
    <row r="444" ht="15.75" customHeight="1">
      <c r="A444" s="1" t="s">
        <v>829</v>
      </c>
      <c r="B444" s="1" t="s">
        <v>21</v>
      </c>
      <c r="C444" s="1" t="s">
        <v>830</v>
      </c>
      <c r="D444" s="1">
        <f t="shared" si="2"/>
        <v>0.5893895888</v>
      </c>
      <c r="E444" s="1">
        <v>1.635514</v>
      </c>
      <c r="F444" s="1">
        <v>0.964266</v>
      </c>
      <c r="G444" s="1">
        <v>0.388575</v>
      </c>
      <c r="H444" s="1">
        <v>0.3493</v>
      </c>
      <c r="I444" s="1">
        <v>0.4321</v>
      </c>
      <c r="K444" s="1">
        <v>-0.8176918788329307</v>
      </c>
    </row>
    <row r="445" ht="15.75" customHeight="1">
      <c r="A445" s="1" t="s">
        <v>831</v>
      </c>
      <c r="B445" s="1" t="s">
        <v>12</v>
      </c>
      <c r="C445" s="1" t="s">
        <v>832</v>
      </c>
      <c r="D445" s="1">
        <f t="shared" si="2"/>
        <v>0.5888167234</v>
      </c>
      <c r="E445" s="1">
        <v>3.967538</v>
      </c>
      <c r="F445" s="1">
        <v>0.966446</v>
      </c>
      <c r="G445" s="1">
        <v>0.350429</v>
      </c>
      <c r="H445" s="1">
        <v>0.3313</v>
      </c>
      <c r="I445" s="1">
        <v>0.4693</v>
      </c>
      <c r="J445" s="1" t="s">
        <v>14</v>
      </c>
      <c r="K445" s="1">
        <v>-0.21595356998245377</v>
      </c>
    </row>
    <row r="446" ht="15.75" customHeight="1">
      <c r="A446" s="1" t="s">
        <v>833</v>
      </c>
      <c r="B446" s="1" t="s">
        <v>49</v>
      </c>
      <c r="C446" s="1" t="s">
        <v>792</v>
      </c>
      <c r="D446" s="1">
        <f t="shared" si="2"/>
        <v>0.5880964748</v>
      </c>
      <c r="E446" s="1">
        <v>9.619238</v>
      </c>
      <c r="F446" s="1">
        <v>0.941661</v>
      </c>
      <c r="G446" s="1">
        <v>0.339593</v>
      </c>
      <c r="H446" s="1">
        <v>0.3515</v>
      </c>
      <c r="I446" s="1">
        <v>0.4321</v>
      </c>
      <c r="K446" s="1">
        <v>0.18839103869653767</v>
      </c>
    </row>
    <row r="447" ht="15.75" customHeight="1">
      <c r="A447" s="1" t="s">
        <v>834</v>
      </c>
      <c r="B447" s="1" t="s">
        <v>49</v>
      </c>
      <c r="C447" s="1" t="s">
        <v>835</v>
      </c>
      <c r="D447" s="1">
        <f t="shared" si="2"/>
        <v>0.5871533886</v>
      </c>
      <c r="E447" s="1">
        <v>3.053435</v>
      </c>
      <c r="F447" s="1">
        <v>0.963547</v>
      </c>
      <c r="G447" s="1">
        <v>0.374581</v>
      </c>
      <c r="H447" s="1">
        <v>0.3515</v>
      </c>
      <c r="I447" s="1">
        <v>0.4321</v>
      </c>
      <c r="K447" s="1">
        <v>-0.46073074038358514</v>
      </c>
    </row>
    <row r="448" ht="15.75" customHeight="1">
      <c r="A448" s="1" t="s">
        <v>836</v>
      </c>
      <c r="B448" s="1" t="s">
        <v>12</v>
      </c>
      <c r="C448" s="1" t="s">
        <v>837</v>
      </c>
      <c r="D448" s="1">
        <f t="shared" si="2"/>
        <v>0.5853949662</v>
      </c>
      <c r="E448" s="1">
        <v>5.153203</v>
      </c>
      <c r="F448" s="1">
        <v>0.962494</v>
      </c>
      <c r="G448" s="1">
        <v>0.33816</v>
      </c>
      <c r="H448" s="1">
        <v>0.3313</v>
      </c>
      <c r="I448" s="1">
        <v>0.4693</v>
      </c>
      <c r="J448" s="1" t="s">
        <v>14</v>
      </c>
      <c r="K448" s="1">
        <v>-0.21595356998245377</v>
      </c>
    </row>
    <row r="449" ht="15.75" customHeight="1">
      <c r="A449" s="1" t="s">
        <v>838</v>
      </c>
      <c r="B449" s="1" t="s">
        <v>45</v>
      </c>
      <c r="C449" s="1" t="s">
        <v>768</v>
      </c>
      <c r="D449" s="1">
        <f t="shared" si="2"/>
        <v>0.5852042976</v>
      </c>
      <c r="E449" s="1">
        <v>0.623053</v>
      </c>
      <c r="F449" s="1">
        <v>0.93983</v>
      </c>
      <c r="G449" s="1">
        <v>0.064181</v>
      </c>
      <c r="H449" s="1">
        <v>0.3552</v>
      </c>
      <c r="I449" s="1">
        <v>0.5969</v>
      </c>
      <c r="J449" s="1" t="s">
        <v>47</v>
      </c>
      <c r="K449" s="1">
        <v>0.0</v>
      </c>
    </row>
    <row r="450" ht="15.75" customHeight="1">
      <c r="A450" s="1" t="s">
        <v>839</v>
      </c>
      <c r="B450" s="1" t="s">
        <v>45</v>
      </c>
      <c r="C450" s="1" t="s">
        <v>840</v>
      </c>
      <c r="D450" s="1">
        <f t="shared" si="2"/>
        <v>0.5849369742</v>
      </c>
      <c r="E450" s="1">
        <v>0.40404</v>
      </c>
      <c r="F450" s="1">
        <v>0.94056</v>
      </c>
      <c r="G450" s="1">
        <v>0.038669</v>
      </c>
      <c r="H450" s="1">
        <v>0.3552</v>
      </c>
      <c r="I450" s="1">
        <v>0.5969</v>
      </c>
      <c r="J450" s="1" t="s">
        <v>47</v>
      </c>
      <c r="K450" s="1">
        <v>0.0</v>
      </c>
    </row>
    <row r="451" ht="15.75" customHeight="1">
      <c r="A451" s="1" t="s">
        <v>841</v>
      </c>
      <c r="B451" s="1" t="s">
        <v>21</v>
      </c>
      <c r="C451" s="1" t="s">
        <v>756</v>
      </c>
      <c r="D451" s="1">
        <f t="shared" si="2"/>
        <v>0.5838834319</v>
      </c>
      <c r="E451" s="1">
        <v>2.852615</v>
      </c>
      <c r="F451" s="1">
        <v>0.960209</v>
      </c>
      <c r="G451" s="1">
        <v>0.364633</v>
      </c>
      <c r="H451" s="1">
        <v>0.3493</v>
      </c>
      <c r="I451" s="1">
        <v>0.4321</v>
      </c>
      <c r="K451" s="1">
        <v>-0.8176918788329307</v>
      </c>
    </row>
    <row r="452" ht="15.75" customHeight="1">
      <c r="A452" s="1" t="s">
        <v>842</v>
      </c>
      <c r="B452" s="1" t="s">
        <v>49</v>
      </c>
      <c r="C452" s="1" t="s">
        <v>477</v>
      </c>
      <c r="D452" s="1">
        <f t="shared" si="2"/>
        <v>0.5823543558</v>
      </c>
      <c r="E452" s="1">
        <v>1.276596</v>
      </c>
      <c r="F452" s="1">
        <v>0.96947</v>
      </c>
      <c r="G452" s="1">
        <v>0.045848</v>
      </c>
      <c r="H452" s="1">
        <v>0.3515</v>
      </c>
      <c r="I452" s="1">
        <v>0.4321</v>
      </c>
      <c r="K452" s="1">
        <v>0.0</v>
      </c>
    </row>
    <row r="453" ht="15.75" customHeight="1">
      <c r="A453" s="1" t="s">
        <v>843</v>
      </c>
      <c r="B453" s="1" t="s">
        <v>12</v>
      </c>
      <c r="C453" s="1" t="s">
        <v>844</v>
      </c>
      <c r="D453" s="1">
        <f t="shared" si="2"/>
        <v>0.5823264721</v>
      </c>
      <c r="E453" s="1">
        <v>0.510856</v>
      </c>
      <c r="F453" s="1">
        <v>0.977969</v>
      </c>
      <c r="G453" s="1">
        <v>0.264558</v>
      </c>
      <c r="H453" s="1">
        <v>0.3313</v>
      </c>
      <c r="I453" s="1">
        <v>0.4693</v>
      </c>
      <c r="J453" s="1" t="s">
        <v>14</v>
      </c>
      <c r="K453" s="1">
        <v>-0.21595356998245377</v>
      </c>
    </row>
    <row r="454" ht="15.75" customHeight="1">
      <c r="A454" s="1" t="s">
        <v>845</v>
      </c>
      <c r="B454" s="1" t="s">
        <v>111</v>
      </c>
      <c r="C454" s="1" t="s">
        <v>846</v>
      </c>
      <c r="D454" s="1">
        <f t="shared" si="2"/>
        <v>0.5813443841</v>
      </c>
      <c r="E454" s="1">
        <v>0.0</v>
      </c>
      <c r="F454" s="1">
        <v>0.97731</v>
      </c>
      <c r="G454" s="1">
        <v>0.483075</v>
      </c>
      <c r="H454" s="1">
        <v>0.3322</v>
      </c>
      <c r="I454" s="1">
        <v>0.2302</v>
      </c>
      <c r="J454" s="1" t="s">
        <v>112</v>
      </c>
      <c r="K454" s="1">
        <v>0.0</v>
      </c>
    </row>
    <row r="455" ht="15.75" customHeight="1">
      <c r="A455" s="1" t="s">
        <v>847</v>
      </c>
      <c r="B455" s="1" t="s">
        <v>21</v>
      </c>
      <c r="C455" s="1" t="s">
        <v>848</v>
      </c>
      <c r="D455" s="1">
        <f t="shared" si="2"/>
        <v>0.5808937242</v>
      </c>
      <c r="E455" s="1">
        <v>3.326403</v>
      </c>
      <c r="F455" s="1">
        <v>0.95863</v>
      </c>
      <c r="G455" s="1">
        <v>0.271677</v>
      </c>
      <c r="H455" s="1">
        <v>0.3493</v>
      </c>
      <c r="I455" s="1">
        <v>0.4321</v>
      </c>
      <c r="K455" s="1">
        <v>0.0</v>
      </c>
    </row>
    <row r="456" ht="15.75" customHeight="1">
      <c r="A456" s="1" t="s">
        <v>849</v>
      </c>
      <c r="B456" s="1" t="s">
        <v>36</v>
      </c>
      <c r="C456" s="1" t="s">
        <v>850</v>
      </c>
      <c r="D456" s="1">
        <f t="shared" si="2"/>
        <v>0.579500078</v>
      </c>
      <c r="E456" s="1">
        <v>4.45269</v>
      </c>
      <c r="F456" s="1">
        <v>0.900599</v>
      </c>
      <c r="G456" s="1">
        <v>0.228126</v>
      </c>
      <c r="H456" s="1">
        <v>0.3622</v>
      </c>
      <c r="I456" s="1">
        <v>0.4321</v>
      </c>
      <c r="K456" s="1">
        <v>0.9982638888888888</v>
      </c>
    </row>
    <row r="457" ht="15.75" customHeight="1">
      <c r="A457" s="1" t="s">
        <v>851</v>
      </c>
      <c r="B457" s="1" t="s">
        <v>49</v>
      </c>
      <c r="C457" s="1" t="s">
        <v>852</v>
      </c>
      <c r="D457" s="1">
        <f t="shared" si="2"/>
        <v>0.5790438936</v>
      </c>
      <c r="E457" s="1">
        <v>2.295082</v>
      </c>
      <c r="F457" s="1">
        <v>0.966075</v>
      </c>
      <c r="G457" s="1">
        <v>0.312416</v>
      </c>
      <c r="H457" s="1">
        <v>0.3515</v>
      </c>
      <c r="I457" s="1">
        <v>0.4321</v>
      </c>
      <c r="K457" s="1">
        <v>-0.46073074038358514</v>
      </c>
    </row>
    <row r="458" ht="15.75" customHeight="1">
      <c r="A458" s="1" t="s">
        <v>853</v>
      </c>
      <c r="B458" s="1" t="s">
        <v>111</v>
      </c>
      <c r="C458" s="1" t="s">
        <v>421</v>
      </c>
      <c r="D458" s="1">
        <f t="shared" si="2"/>
        <v>0.578701031</v>
      </c>
      <c r="E458" s="1">
        <v>7.062147</v>
      </c>
      <c r="F458" s="1">
        <v>0.95377</v>
      </c>
      <c r="G458" s="1">
        <v>0.417208</v>
      </c>
      <c r="H458" s="1">
        <v>0.3322</v>
      </c>
      <c r="I458" s="1">
        <v>0.2302</v>
      </c>
      <c r="J458" s="1" t="s">
        <v>112</v>
      </c>
      <c r="K458" s="1">
        <v>0.6116852984602404</v>
      </c>
    </row>
    <row r="459" ht="15.75" customHeight="1">
      <c r="A459" s="1" t="s">
        <v>854</v>
      </c>
      <c r="B459" s="1" t="s">
        <v>49</v>
      </c>
      <c r="C459" s="1" t="s">
        <v>855</v>
      </c>
      <c r="D459" s="1">
        <f t="shared" si="2"/>
        <v>0.5773539441</v>
      </c>
      <c r="E459" s="1">
        <v>0.314961</v>
      </c>
      <c r="F459" s="1">
        <v>0.972676</v>
      </c>
      <c r="G459" s="1">
        <v>0.277469</v>
      </c>
      <c r="H459" s="1">
        <v>0.3515</v>
      </c>
      <c r="I459" s="1">
        <v>0.4321</v>
      </c>
      <c r="K459" s="1">
        <v>-0.46073074038358514</v>
      </c>
    </row>
    <row r="460" ht="15.75" customHeight="1">
      <c r="A460" s="1" t="s">
        <v>856</v>
      </c>
      <c r="B460" s="1" t="s">
        <v>49</v>
      </c>
      <c r="C460" s="1" t="s">
        <v>857</v>
      </c>
      <c r="D460" s="1">
        <f t="shared" si="2"/>
        <v>0.5748870556</v>
      </c>
      <c r="E460" s="1">
        <v>0.305344</v>
      </c>
      <c r="F460" s="1">
        <v>0.972708</v>
      </c>
      <c r="G460" s="1">
        <v>0.256041</v>
      </c>
      <c r="H460" s="1">
        <v>0.3515</v>
      </c>
      <c r="I460" s="1">
        <v>0.4321</v>
      </c>
      <c r="K460" s="1">
        <v>-0.46073074038358514</v>
      </c>
    </row>
    <row r="461" ht="15.75" customHeight="1">
      <c r="A461" s="1" t="s">
        <v>858</v>
      </c>
      <c r="B461" s="1" t="s">
        <v>49</v>
      </c>
      <c r="C461" s="1" t="s">
        <v>859</v>
      </c>
      <c r="D461" s="1">
        <f t="shared" si="2"/>
        <v>0.5736425555</v>
      </c>
      <c r="E461" s="1">
        <v>0.528402</v>
      </c>
      <c r="F461" s="1">
        <v>0.971964</v>
      </c>
      <c r="G461" s="1">
        <v>0.247561</v>
      </c>
      <c r="H461" s="1">
        <v>0.3515</v>
      </c>
      <c r="I461" s="1">
        <v>0.4321</v>
      </c>
      <c r="K461" s="1">
        <v>0.0</v>
      </c>
    </row>
    <row r="462" ht="15.75" customHeight="1">
      <c r="A462" s="1" t="s">
        <v>860</v>
      </c>
      <c r="B462" s="1" t="s">
        <v>24</v>
      </c>
      <c r="C462" s="1" t="s">
        <v>861</v>
      </c>
      <c r="D462" s="1">
        <f t="shared" si="2"/>
        <v>0.5710906873</v>
      </c>
      <c r="E462" s="1">
        <v>1.993355</v>
      </c>
      <c r="F462" s="1">
        <v>0.949327</v>
      </c>
      <c r="G462" s="1">
        <v>0.308309</v>
      </c>
      <c r="H462" s="1">
        <v>0.3487</v>
      </c>
      <c r="I462" s="1">
        <v>0.4321</v>
      </c>
      <c r="K462" s="1">
        <v>-1.6611295681063123</v>
      </c>
    </row>
    <row r="463" ht="15.75" customHeight="1">
      <c r="A463" s="1" t="s">
        <v>862</v>
      </c>
      <c r="B463" s="1" t="s">
        <v>49</v>
      </c>
      <c r="C463" s="1" t="s">
        <v>642</v>
      </c>
      <c r="D463" s="1">
        <f t="shared" si="2"/>
        <v>0.5697215283</v>
      </c>
      <c r="E463" s="1">
        <v>4.301075</v>
      </c>
      <c r="F463" s="1">
        <v>0.959389</v>
      </c>
      <c r="G463" s="1">
        <v>0.260078</v>
      </c>
      <c r="H463" s="1">
        <v>0.3515</v>
      </c>
      <c r="I463" s="1">
        <v>0.4321</v>
      </c>
      <c r="K463" s="1">
        <v>-0.46073074038358514</v>
      </c>
    </row>
    <row r="464" ht="15.75" customHeight="1">
      <c r="A464" s="1" t="s">
        <v>863</v>
      </c>
      <c r="B464" s="1" t="s">
        <v>16</v>
      </c>
      <c r="C464" s="1" t="s">
        <v>864</v>
      </c>
      <c r="D464" s="1">
        <f t="shared" si="2"/>
        <v>0.5687558032</v>
      </c>
      <c r="E464" s="1">
        <v>1.520087</v>
      </c>
      <c r="F464" s="1">
        <v>0.957559</v>
      </c>
      <c r="G464" s="1">
        <v>0.071964</v>
      </c>
      <c r="H464" s="1">
        <v>0.3499</v>
      </c>
      <c r="I464" s="1">
        <v>0.4321</v>
      </c>
      <c r="K464" s="1">
        <v>0.0488997555012225</v>
      </c>
    </row>
    <row r="465" ht="15.75" customHeight="1">
      <c r="A465" s="1" t="s">
        <v>865</v>
      </c>
      <c r="B465" s="1" t="s">
        <v>12</v>
      </c>
      <c r="C465" s="1" t="s">
        <v>866</v>
      </c>
      <c r="D465" s="1">
        <f t="shared" si="2"/>
        <v>0.5671620189</v>
      </c>
      <c r="E465" s="1">
        <v>0.510204</v>
      </c>
      <c r="F465" s="1">
        <v>0.977971</v>
      </c>
      <c r="G465" s="1">
        <v>0.016173</v>
      </c>
      <c r="H465" s="1">
        <v>0.3313</v>
      </c>
      <c r="I465" s="1">
        <v>0.4693</v>
      </c>
      <c r="J465" s="1" t="s">
        <v>14</v>
      </c>
      <c r="K465" s="1">
        <v>0.0</v>
      </c>
    </row>
    <row r="466" ht="15.75" customHeight="1">
      <c r="A466" s="1" t="s">
        <v>867</v>
      </c>
      <c r="B466" s="1" t="s">
        <v>16</v>
      </c>
      <c r="C466" s="1" t="s">
        <v>868</v>
      </c>
      <c r="D466" s="1">
        <f t="shared" si="2"/>
        <v>0.5650894627</v>
      </c>
      <c r="E466" s="1">
        <v>2.18281</v>
      </c>
      <c r="F466" s="1">
        <v>0.955349</v>
      </c>
      <c r="G466" s="1">
        <v>0.076459</v>
      </c>
      <c r="H466" s="1">
        <v>0.3499</v>
      </c>
      <c r="I466" s="1">
        <v>0.4321</v>
      </c>
      <c r="K466" s="1">
        <v>0.0488997555012225</v>
      </c>
    </row>
    <row r="467" ht="15.75" customHeight="1">
      <c r="A467" s="1" t="s">
        <v>869</v>
      </c>
      <c r="B467" s="1" t="s">
        <v>49</v>
      </c>
      <c r="C467" s="1" t="s">
        <v>870</v>
      </c>
      <c r="D467" s="1">
        <f t="shared" si="2"/>
        <v>0.5615065447</v>
      </c>
      <c r="E467" s="1">
        <v>0.0</v>
      </c>
      <c r="F467" s="1">
        <v>0.973726</v>
      </c>
      <c r="G467" s="1">
        <v>0.052473</v>
      </c>
      <c r="H467" s="1">
        <v>0.3515</v>
      </c>
      <c r="I467" s="1">
        <v>0.4321</v>
      </c>
      <c r="K467" s="1">
        <v>0.0</v>
      </c>
    </row>
    <row r="468" ht="15.75" customHeight="1">
      <c r="A468" s="1" t="s">
        <v>871</v>
      </c>
      <c r="B468" s="1" t="s">
        <v>49</v>
      </c>
      <c r="C468" s="1" t="s">
        <v>872</v>
      </c>
      <c r="D468" s="1">
        <f t="shared" si="2"/>
        <v>0.5606698483</v>
      </c>
      <c r="E468" s="1">
        <v>0.635593</v>
      </c>
      <c r="F468" s="1">
        <v>0.971607</v>
      </c>
      <c r="G468" s="1">
        <v>0.055856</v>
      </c>
      <c r="H468" s="1">
        <v>0.3515</v>
      </c>
      <c r="I468" s="1">
        <v>0.4321</v>
      </c>
      <c r="K468" s="1">
        <v>0.0</v>
      </c>
    </row>
    <row r="469" ht="15.75" customHeight="1">
      <c r="A469" s="1" t="s">
        <v>873</v>
      </c>
      <c r="B469" s="1" t="s">
        <v>16</v>
      </c>
      <c r="C469" s="1" t="s">
        <v>874</v>
      </c>
      <c r="D469" s="1">
        <f t="shared" si="2"/>
        <v>0.5558812235</v>
      </c>
      <c r="E469" s="1">
        <v>0.0</v>
      </c>
      <c r="F469" s="1">
        <v>0.962626</v>
      </c>
      <c r="G469" s="1">
        <v>0.01505</v>
      </c>
      <c r="H469" s="1">
        <v>0.3499</v>
      </c>
      <c r="I469" s="1">
        <v>0.4321</v>
      </c>
      <c r="K469" s="1">
        <v>0.0</v>
      </c>
    </row>
    <row r="470" ht="15.75" customHeight="1">
      <c r="A470" s="1" t="s">
        <v>875</v>
      </c>
      <c r="B470" s="1" t="s">
        <v>16</v>
      </c>
      <c r="C470" s="1" t="s">
        <v>794</v>
      </c>
      <c r="D470" s="1">
        <f t="shared" si="2"/>
        <v>0.5529270067</v>
      </c>
      <c r="E470" s="1">
        <v>2.315789</v>
      </c>
      <c r="F470" s="1">
        <v>0.954906</v>
      </c>
      <c r="G470" s="1">
        <v>0.0439</v>
      </c>
      <c r="H470" s="1">
        <v>0.3499</v>
      </c>
      <c r="I470" s="1">
        <v>0.4321</v>
      </c>
      <c r="K470" s="1">
        <v>0.0</v>
      </c>
    </row>
    <row r="471" ht="15.75" customHeight="1">
      <c r="A471" s="1" t="s">
        <v>876</v>
      </c>
      <c r="B471" s="1" t="s">
        <v>24</v>
      </c>
      <c r="C471" s="1" t="s">
        <v>877</v>
      </c>
      <c r="D471" s="1">
        <f t="shared" si="2"/>
        <v>0.5500819442</v>
      </c>
      <c r="E471" s="1">
        <v>2.793296</v>
      </c>
      <c r="F471" s="1">
        <v>0.94666</v>
      </c>
      <c r="G471" s="1">
        <v>0.076768</v>
      </c>
      <c r="H471" s="1">
        <v>0.3487</v>
      </c>
      <c r="I471" s="1">
        <v>0.4321</v>
      </c>
      <c r="K471" s="1">
        <v>-1.320901320901321</v>
      </c>
    </row>
    <row r="472" ht="15.75" customHeight="1">
      <c r="A472" s="1" t="s">
        <v>878</v>
      </c>
      <c r="B472" s="1" t="s">
        <v>111</v>
      </c>
      <c r="C472" s="1" t="s">
        <v>879</v>
      </c>
      <c r="D472" s="1">
        <f t="shared" si="2"/>
        <v>0.539061122</v>
      </c>
      <c r="E472" s="1">
        <v>0.0</v>
      </c>
      <c r="F472" s="1">
        <v>0.97731</v>
      </c>
      <c r="G472" s="1">
        <v>0.209437</v>
      </c>
      <c r="H472" s="1">
        <v>0.3322</v>
      </c>
      <c r="I472" s="1">
        <v>0.2302</v>
      </c>
      <c r="J472" s="1" t="s">
        <v>112</v>
      </c>
      <c r="K472" s="1">
        <v>0.0</v>
      </c>
    </row>
    <row r="473" ht="15.75" customHeight="1">
      <c r="A473" s="1" t="s">
        <v>880</v>
      </c>
      <c r="B473" s="1" t="s">
        <v>16</v>
      </c>
      <c r="C473" s="1" t="s">
        <v>881</v>
      </c>
      <c r="D473" s="1">
        <f t="shared" si="2"/>
        <v>0.5297239871</v>
      </c>
      <c r="E473" s="1">
        <v>3.252033</v>
      </c>
      <c r="G473" s="1">
        <v>1.0</v>
      </c>
      <c r="H473" s="1">
        <v>0.3499</v>
      </c>
      <c r="K473" s="1">
        <v>-8.130081300813009</v>
      </c>
    </row>
    <row r="474" ht="15.75" customHeight="1">
      <c r="A474" s="1" t="s">
        <v>882</v>
      </c>
      <c r="B474" s="1" t="s">
        <v>111</v>
      </c>
      <c r="C474" s="1" t="s">
        <v>883</v>
      </c>
      <c r="D474" s="1">
        <f t="shared" si="2"/>
        <v>0.5281077801</v>
      </c>
      <c r="E474" s="1">
        <v>0.564175</v>
      </c>
      <c r="F474" s="1">
        <v>0.97543</v>
      </c>
      <c r="G474" s="1">
        <v>0.027906</v>
      </c>
      <c r="H474" s="1">
        <v>0.3322</v>
      </c>
      <c r="I474" s="1">
        <v>0.2302</v>
      </c>
      <c r="J474" s="1" t="s">
        <v>112</v>
      </c>
      <c r="K474" s="1">
        <v>0.0</v>
      </c>
    </row>
    <row r="475" ht="15.75" customHeight="1">
      <c r="A475" s="1" t="s">
        <v>884</v>
      </c>
      <c r="B475" s="1" t="s">
        <v>36</v>
      </c>
      <c r="C475" s="1" t="s">
        <v>885</v>
      </c>
      <c r="D475" s="1">
        <f t="shared" si="2"/>
        <v>0.5278834694</v>
      </c>
      <c r="E475" s="1">
        <v>6.946454</v>
      </c>
      <c r="F475" s="1">
        <v>0.892287</v>
      </c>
      <c r="G475" s="1">
        <v>0.023843</v>
      </c>
      <c r="H475" s="1">
        <v>0.3622</v>
      </c>
      <c r="I475" s="1">
        <v>0.4321</v>
      </c>
      <c r="K475" s="1">
        <v>0.0</v>
      </c>
    </row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autoFilter ref="$A$1:$Z$475">
    <sortState ref="A1:Z475">
      <sortCondition descending="1" ref="D1:D475"/>
    </sortState>
  </autoFilter>
  <drawing r:id="rId1"/>
</worksheet>
</file>